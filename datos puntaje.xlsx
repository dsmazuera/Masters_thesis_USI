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anamazuera/Desktop/USI/TESIS/"/>
    </mc:Choice>
  </mc:AlternateContent>
  <xr:revisionPtr revIDLastSave="0" documentId="13_ncr:1_{28B484FE-268E-394A-9971-3A69DB8DCE47}" xr6:coauthVersionLast="47" xr6:coauthVersionMax="47" xr10:uidLastSave="{00000000-0000-0000-0000-000000000000}"/>
  <bookViews>
    <workbookView xWindow="0" yWindow="480" windowWidth="28800" windowHeight="17520" activeTab="9" xr2:uid="{31929B93-7941-9444-8B39-C13845CB9202}"/>
  </bookViews>
  <sheets>
    <sheet name="FUENTES" sheetId="1" state="hidden" r:id="rId1"/>
    <sheet name="GRA GENERAL" sheetId="4" state="hidden" r:id="rId2"/>
    <sheet name="Hoja1" sheetId="10" state="hidden" r:id="rId3"/>
    <sheet name="EJE GRAFICAS" sheetId="5" state="hidden" r:id="rId4"/>
    <sheet name="DATOS 13" sheetId="2" state="hidden" r:id="rId5"/>
    <sheet name="DATOS 7" sheetId="7" state="hidden" r:id="rId6"/>
    <sheet name="EJE GRA" sheetId="3" state="hidden" r:id="rId7"/>
    <sheet name="Hoja5" sheetId="8" state="hidden" r:id="rId8"/>
    <sheet name="presi 5 paises" sheetId="12" state="hidden" r:id="rId9"/>
    <sheet name="5 paises WB" sheetId="11" r:id="rId10"/>
    <sheet name="5 PAISES IPC" sheetId="13" r:id="rId11"/>
  </sheets>
  <definedNames>
    <definedName name="_xlnm._FilterDatabase" localSheetId="3" hidden="1">'EJE GRAFICAS'!$A$7:$M$52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5" l="1"/>
  <c r="E11" i="5"/>
  <c r="F11" i="5"/>
  <c r="G11" i="5"/>
  <c r="H11" i="5"/>
  <c r="I11" i="5"/>
  <c r="J11" i="5"/>
  <c r="K11" i="5"/>
  <c r="L11" i="5"/>
  <c r="M11" i="5"/>
  <c r="C11" i="5"/>
  <c r="D45" i="5"/>
  <c r="E45" i="5"/>
  <c r="F45" i="5"/>
  <c r="G45" i="5"/>
  <c r="H45" i="5"/>
  <c r="I45" i="5"/>
  <c r="J45" i="5"/>
  <c r="K45" i="5"/>
  <c r="L45" i="5"/>
  <c r="M45" i="5"/>
  <c r="C45" i="5"/>
  <c r="D19" i="5"/>
  <c r="E19" i="5"/>
  <c r="F19" i="5"/>
  <c r="G19" i="5"/>
  <c r="H19" i="5"/>
  <c r="I19" i="5"/>
  <c r="J19" i="5"/>
  <c r="K19" i="5"/>
  <c r="L19" i="5"/>
  <c r="M19" i="5"/>
  <c r="C1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D4" authorId="0" shapeId="0" xr:uid="{D9FAB59F-8B5B-844B-8070-5A1CF09EA978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FRECUENCIA: CADA 2-3 AÑOS
</t>
        </r>
        <r>
          <rPr>
            <sz val="10"/>
            <color rgb="FF000000"/>
            <rFont val="Tahoma"/>
            <family val="2"/>
          </rPr>
          <t>SI HAY DOS TEMAS, EL VALOR ES GENERAL</t>
        </r>
      </text>
    </comment>
    <comment ref="D9" authorId="0" shapeId="0" xr:uid="{77F7FE79-C739-6B4C-B4F0-476C0585CA27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Monthly since 1997 - Democracy Index annually since 2006</t>
        </r>
      </text>
    </comment>
    <comment ref="D13" authorId="0" shapeId="0" xr:uid="{D126FDF7-CBD3-BA45-BB04-F25D3D7EB36C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Annual since 1996
</t>
        </r>
      </text>
    </comment>
    <comment ref="D24" authorId="0" shapeId="0" xr:uid="{C685E811-D2EE-E048-A4A9-FF181FAEF51B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Annual starting in 2006</t>
        </r>
      </text>
    </comment>
    <comment ref="D28" authorId="0" shapeId="0" xr:uid="{966B6BF6-2D99-034E-A49B-9356FEE4253D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Annual since 1987</t>
        </r>
      </text>
    </comment>
    <comment ref="D32" authorId="0" shapeId="0" xr:uid="{CF14C43B-6275-1341-895D-7BBAF04B7988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Monthly since 1984
</t>
        </r>
      </text>
    </comment>
    <comment ref="D36" authorId="0" shapeId="0" xr:uid="{E7F28B04-EB32-CE42-86B8-313B6EEF921B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Annual since 2009.  We use data starting from 2011 as the initial rounds are not comparable with 2011.</t>
        </r>
      </text>
    </comment>
    <comment ref="D40" authorId="0" shapeId="0" xr:uid="{B3739679-F929-1845-A896-A6918DF8C861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Annual since 2004, every three years from 2015 onwards.</t>
        </r>
      </text>
    </comment>
    <comment ref="D50" authorId="0" shapeId="0" xr:uid="{36D94D50-9A44-7A48-895C-A198650A7061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Annual</t>
        </r>
      </text>
    </comment>
    <comment ref="D54" authorId="0" shapeId="0" xr:uid="{94804C36-775A-E34F-82C8-B49690536811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Annual assessments with daily online updates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PONER CUIDADO EN INTERPRETACIÓN POR CAMBIO DE PREGUNTA.</t>
        </r>
      </text>
    </comment>
    <comment ref="D71" authorId="0" shapeId="0" xr:uid="{4CF11933-8025-EB46-85FB-26FD448DEF07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Bi-annual since 2004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4" authorId="0" shapeId="0" xr:uid="{6F5CCD99-F033-1A45-9864-46C1A8DBB067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FRECUENCIA: CADA 2-3 AÑOS
</t>
        </r>
        <r>
          <rPr>
            <sz val="10"/>
            <color rgb="FF000000"/>
            <rFont val="Tahoma"/>
            <family val="2"/>
          </rPr>
          <t>SI HAY DOS TEMAS, EL VALOR ES GENERAL</t>
        </r>
      </text>
    </comment>
    <comment ref="B9" authorId="0" shapeId="0" xr:uid="{62448A46-AAB7-3A4D-804C-AF46601B9B1D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Monthly since 1997 - Democracy Index annually since 2006</t>
        </r>
      </text>
    </comment>
    <comment ref="B13" authorId="0" shapeId="0" xr:uid="{37162AD1-ED55-804D-8376-FAE2EC305CAE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Annual since 1996
</t>
        </r>
      </text>
    </comment>
    <comment ref="B24" authorId="0" shapeId="0" xr:uid="{BBF9C6F0-026B-494E-A1C8-72ABA267A356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Monthly since 1984
</t>
        </r>
      </text>
    </comment>
    <comment ref="B28" authorId="0" shapeId="0" xr:uid="{582D7056-0BCF-7A45-BBD8-91377D2CBEEE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Annual since 2009.  We use data starting from 2011 as the initial rounds are not comparable with 2011.</t>
        </r>
      </text>
    </comment>
    <comment ref="B32" authorId="0" shapeId="0" xr:uid="{9AFBFD4D-EC17-7B44-9BD2-DAA946989BFD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Annual</t>
        </r>
      </text>
    </comment>
  </commentList>
</comments>
</file>

<file path=xl/sharedStrings.xml><?xml version="1.0" encoding="utf-8"?>
<sst xmlns="http://schemas.openxmlformats.org/spreadsheetml/2006/main" count="1986" uniqueCount="216">
  <si>
    <t>Data Source*</t>
  </si>
  <si>
    <t>Data Type**</t>
  </si>
  <si>
    <t>African Development Bank Country Policy and Institutional Assessments (ADB)</t>
  </si>
  <si>
    <t>Expert (GOV)</t>
  </si>
  <si>
    <t>African Electoral Index (IRP)</t>
  </si>
  <si>
    <t>Expert (NGO)</t>
  </si>
  <si>
    <t>Afrobarometer (AFR)</t>
  </si>
  <si>
    <t>Survey</t>
  </si>
  <si>
    <t>Asian Development Bank Country Policy and Institutional Assessments (ASD)</t>
  </si>
  <si>
    <t>World Bank Business Enterprise Environment Survey (BPS)</t>
  </si>
  <si>
    <t>Bertelsmann Transformation Index (BTI)</t>
  </si>
  <si>
    <t>Cingranelli Richards Human Rights Database and Political Terror Scale (HUM)</t>
  </si>
  <si>
    <t>European Bank for Reconstruction and Development Transition Report (EBR)</t>
  </si>
  <si>
    <t>European Quality of Government Index (EQI)</t>
  </si>
  <si>
    <t>Economist Intelligence Unit (EIU)</t>
  </si>
  <si>
    <t>Expert (CBIP)</t>
  </si>
  <si>
    <t>Freedom House (FRH)</t>
  </si>
  <si>
    <t>Freedom House -- Countries at the Crossroads (CCR)</t>
  </si>
  <si>
    <t>Transparency International Global Corruption Barometer Survey (GCB)</t>
  </si>
  <si>
    <t>World Economic Formum Global Competitiveness Report (GCS)</t>
  </si>
  <si>
    <t>Global Integrity Index (GII)</t>
  </si>
  <si>
    <t>Gallup World Poll (GWP)</t>
  </si>
  <si>
    <t>Heritage Foundation Index of Economic Freedom (HER)</t>
  </si>
  <si>
    <t>Human Rights Measurement Initiative (HRM)</t>
  </si>
  <si>
    <t>IFAD Rural Sector Performance Assessments (IFD)</t>
  </si>
  <si>
    <t>IHS Markit Country Risk Service (WMO)</t>
  </si>
  <si>
    <t>iJET Country Security Risk Ratings (IJT)</t>
  </si>
  <si>
    <t>Institute for Management &amp; Development World Competitiveness Yearbook (WCY)</t>
  </si>
  <si>
    <t>Institutional Profiles Database (IPD)</t>
  </si>
  <si>
    <t>International Research &amp; Exchanges Board Vibrant Information Barometer (MSI)</t>
  </si>
  <si>
    <t>International Budget Project Open Budget Index (OBI)</t>
  </si>
  <si>
    <t>Latinobarometro (LBO)</t>
  </si>
  <si>
    <t>Political Economic Risk Consultancy (PRC)</t>
  </si>
  <si>
    <t>Political Risk Services International Country Risk Guide (PRS)</t>
  </si>
  <si>
    <t>Reporters Without Borders Press Freedom Index (RSF)</t>
  </si>
  <si>
    <t>US State Department Trafficking in People Report (TPR)</t>
  </si>
  <si>
    <t>Vanderbilt University's Americas Barometer (VAB)</t>
  </si>
  <si>
    <t>Varieties of Democracy Project (VDM)</t>
  </si>
  <si>
    <t>World Bank Country Policy and Institutional Assessments (PIA)</t>
  </si>
  <si>
    <t>World Justice Project Rule of Law Index (WJP)</t>
  </si>
  <si>
    <t>Expert (NGO)/Survey</t>
  </si>
  <si>
    <t>África</t>
  </si>
  <si>
    <t xml:space="preserve">asia </t>
  </si>
  <si>
    <t>Transition economies in Eastern Europe and Former Soviet Union</t>
  </si>
  <si>
    <t>todos</t>
  </si>
  <si>
    <t>Anti-Corruption policy</t>
  </si>
  <si>
    <t>Prosecution of office abuse</t>
  </si>
  <si>
    <t>X</t>
  </si>
  <si>
    <t>..</t>
  </si>
  <si>
    <t>Bertelsmann Transformation Index (BTI) - BTI22CC</t>
  </si>
  <si>
    <t>no cc</t>
  </si>
  <si>
    <t>europa</t>
  </si>
  <si>
    <t>Corruption among public officials</t>
  </si>
  <si>
    <t xml:space="preserve">Control of Corruption </t>
  </si>
  <si>
    <t>no sé</t>
  </si>
  <si>
    <t>World Economic Forum Global Competitiveness Survey  (GCS)</t>
  </si>
  <si>
    <t>Public trust of politicians</t>
  </si>
  <si>
    <t>Diversion of public funds</t>
  </si>
  <si>
    <t>Irregular payments in exports and imports</t>
  </si>
  <si>
    <t>Irregular payments in public utilities</t>
  </si>
  <si>
    <t>Irregular payments in tax collection</t>
  </si>
  <si>
    <t>Irregular payments in public contracts</t>
  </si>
  <si>
    <t>Irregular payments in judicial decisions</t>
  </si>
  <si>
    <t>State Capture</t>
  </si>
  <si>
    <t xml:space="preserve">Gallup World Poll (GWP)  </t>
  </si>
  <si>
    <t>Is corruption in governmnent widespread?</t>
  </si>
  <si>
    <t>Institute for Management Development World Competitiveness Yearbook (WCY)</t>
  </si>
  <si>
    <t>Bribery and corruption do not exist</t>
  </si>
  <si>
    <t>Corruption</t>
  </si>
  <si>
    <t>World Justice Project Rule of Law Index</t>
  </si>
  <si>
    <t>Factor 2: Absence of Corruption</t>
  </si>
  <si>
    <t xml:space="preserve">argentina </t>
  </si>
  <si>
    <t xml:space="preserve">bolivia </t>
  </si>
  <si>
    <t>brasil</t>
  </si>
  <si>
    <t>chile</t>
  </si>
  <si>
    <t>colombia</t>
  </si>
  <si>
    <t>ecuador</t>
  </si>
  <si>
    <t xml:space="preserve">paraguay </t>
  </si>
  <si>
    <t>perú</t>
  </si>
  <si>
    <t>uruguay</t>
  </si>
  <si>
    <t>venezuela</t>
  </si>
  <si>
    <t>BTI22CC</t>
  </si>
  <si>
    <t>BTI2021CC</t>
  </si>
  <si>
    <t>BTI1819CC</t>
  </si>
  <si>
    <t>BTI1617CC</t>
  </si>
  <si>
    <t>BTI1415CC</t>
  </si>
  <si>
    <t>BTI1213CC</t>
  </si>
  <si>
    <t>COUNTRY</t>
  </si>
  <si>
    <t>CODE</t>
  </si>
  <si>
    <t>GCS22CC</t>
  </si>
  <si>
    <t>GCS21CC</t>
  </si>
  <si>
    <t>GCS20CC</t>
  </si>
  <si>
    <t>GCS19CC</t>
  </si>
  <si>
    <t>GCS18CC</t>
  </si>
  <si>
    <t>GCS17CC</t>
  </si>
  <si>
    <t>GCS16CC</t>
  </si>
  <si>
    <t>GCS15CC</t>
  </si>
  <si>
    <t>GCS14CC</t>
  </si>
  <si>
    <t>GCS13CC</t>
  </si>
  <si>
    <t>GCS12CC</t>
  </si>
  <si>
    <t>Argentina</t>
  </si>
  <si>
    <t>ARG</t>
  </si>
  <si>
    <t>Bolivia</t>
  </si>
  <si>
    <t>BOL</t>
  </si>
  <si>
    <t>Brazil</t>
  </si>
  <si>
    <t>BRA</t>
  </si>
  <si>
    <t>Chile</t>
  </si>
  <si>
    <t>CHL</t>
  </si>
  <si>
    <t>Colombia</t>
  </si>
  <si>
    <t>COL</t>
  </si>
  <si>
    <t>Ecuador</t>
  </si>
  <si>
    <t>ECU</t>
  </si>
  <si>
    <t>Peru</t>
  </si>
  <si>
    <t>PER</t>
  </si>
  <si>
    <t>Paraguay</t>
  </si>
  <si>
    <t>PRY</t>
  </si>
  <si>
    <t>Uruguay</t>
  </si>
  <si>
    <t>URY</t>
  </si>
  <si>
    <t>Venezuela, RB</t>
  </si>
  <si>
    <t>VEN</t>
  </si>
  <si>
    <t>code</t>
  </si>
  <si>
    <t>country</t>
  </si>
  <si>
    <t>EIU22CC</t>
  </si>
  <si>
    <t>EIU21CC</t>
  </si>
  <si>
    <t>EIU20CC</t>
  </si>
  <si>
    <t>EIU19CC</t>
  </si>
  <si>
    <t>EIU18CC</t>
  </si>
  <si>
    <t>EIU17CC</t>
  </si>
  <si>
    <t>EIU16CC</t>
  </si>
  <si>
    <t>EIU15CC</t>
  </si>
  <si>
    <t>EIU14CC</t>
  </si>
  <si>
    <t>EIU13CC</t>
  </si>
  <si>
    <t>EIU12CC</t>
  </si>
  <si>
    <t>WJP22CC</t>
  </si>
  <si>
    <t>WJP21CC</t>
  </si>
  <si>
    <t>WJP1920CC</t>
  </si>
  <si>
    <t>WJP18CC</t>
  </si>
  <si>
    <t>WJP17RL</t>
  </si>
  <si>
    <t>WJP1516CC</t>
  </si>
  <si>
    <t>WJP14CC</t>
  </si>
  <si>
    <t>WJP12CC</t>
  </si>
  <si>
    <t>WJP13CC</t>
  </si>
  <si>
    <t>x</t>
  </si>
  <si>
    <t>gcs</t>
  </si>
  <si>
    <t>eiu</t>
  </si>
  <si>
    <t>wjp</t>
  </si>
  <si>
    <t>Country/Territory</t>
  </si>
  <si>
    <t>Code</t>
  </si>
  <si>
    <t>general</t>
  </si>
  <si>
    <t>Accountability, transparency and corruption in rural areas</t>
  </si>
  <si>
    <t>Level of "petty" corruption between administration and citizens</t>
  </si>
  <si>
    <t>Level of corruption between administrations and local businesses</t>
  </si>
  <si>
    <t>Level of corruption between administrations and foreign companies</t>
  </si>
  <si>
    <t xml:space="preserve">Institutional Profiles Database (IPD) </t>
  </si>
  <si>
    <t>Corruption Index ( v2x_corr)</t>
  </si>
  <si>
    <t>Varieties of Democracy Project (VDEM)</t>
  </si>
  <si>
    <t xml:space="preserve">IHS MARKIT (WMO)  </t>
  </si>
  <si>
    <t xml:space="preserve">Latinobarometro (LBO)  </t>
  </si>
  <si>
    <t>Frequency of corruption</t>
  </si>
  <si>
    <t>Corruption in Judiciary</t>
  </si>
  <si>
    <t>Corruption in Government</t>
  </si>
  <si>
    <t>Corruption in Office of the Presidency</t>
  </si>
  <si>
    <t>Corruption in Parliament</t>
  </si>
  <si>
    <t>Corruption in Public Employees</t>
  </si>
  <si>
    <t>Corruption in Local Government (Councilors)</t>
  </si>
  <si>
    <t>Corruption in Police</t>
  </si>
  <si>
    <t>Corruption in National Tax Office</t>
  </si>
  <si>
    <t xml:space="preserve">Vanderbilt University's Americas Barometer (VAB) </t>
  </si>
  <si>
    <t>Frequency of corruption among government officials</t>
  </si>
  <si>
    <t>Perception of politicians to be corrupt -- % of respondents agreeing with statements: more than half &amp; all politicians are corrupt</t>
  </si>
  <si>
    <t>Thinking of the politicians, how many of them do you believe are involved in corruption?</t>
  </si>
  <si>
    <t>POR AÑO</t>
  </si>
  <si>
    <t>DATA</t>
  </si>
  <si>
    <t>🇧🇴🇪🇨🇵🇾🇺🇾</t>
  </si>
  <si>
    <t>NO CAMBIA</t>
  </si>
  <si>
    <t>🇵🇾</t>
  </si>
  <si>
    <t>CHILE</t>
  </si>
  <si>
    <t>_BOLIVIA</t>
  </si>
  <si>
    <t xml:space="preserve">Corruption : An assessment of the intrusiveness of the country’s bureaucracy. The amount of red tape likely to countered is assessed, as is the likelihood of encountering corrupt officials and other groups. </t>
  </si>
  <si>
    <r>
      <rPr>
        <i/>
        <sz val="12"/>
        <color rgb="FFFF0000"/>
        <rFont val="Calibri"/>
        <family val="2"/>
        <scheme val="minor"/>
      </rPr>
      <t xml:space="preserve">Corruption. </t>
    </r>
    <r>
      <rPr>
        <sz val="12"/>
        <color rgb="FFFF0000"/>
        <rFont val="Calibri"/>
        <family val="2"/>
        <scheme val="minor"/>
      </rPr>
      <t xml:space="preserve">The risk that individuals/companies will face bribery or other corrupt practices to carry out business, from securing major contracts to being allowed to import/export a small product or obtain everyday paperwork. This threatens a company's ability to operate in a country, or opens it up to legal or regulatory penalties and reputational damage. </t>
    </r>
  </si>
  <si>
    <t>NO SÉ</t>
  </si>
  <si>
    <t xml:space="preserve">colombia </t>
  </si>
  <si>
    <t xml:space="preserve">4 años </t>
  </si>
  <si>
    <t>2002-2006</t>
  </si>
  <si>
    <t>2006-2010</t>
  </si>
  <si>
    <t>2010-2014</t>
  </si>
  <si>
    <t>2018-2022</t>
  </si>
  <si>
    <t>2014-2018</t>
  </si>
  <si>
    <t>uribe</t>
  </si>
  <si>
    <t>santos</t>
  </si>
  <si>
    <t>duque</t>
  </si>
  <si>
    <t xml:space="preserve">brasil </t>
  </si>
  <si>
    <t>4 años</t>
  </si>
  <si>
    <t>2003-2006</t>
  </si>
  <si>
    <t>2007-2010</t>
  </si>
  <si>
    <t>2011-2014</t>
  </si>
  <si>
    <t>2015-2016</t>
  </si>
  <si>
    <t>2016-2018</t>
  </si>
  <si>
    <t>2019-2022</t>
  </si>
  <si>
    <t>argentina</t>
  </si>
  <si>
    <t>2019-2023</t>
  </si>
  <si>
    <t>2015-2019</t>
  </si>
  <si>
    <t>2011-2015</t>
  </si>
  <si>
    <t>2007-2011</t>
  </si>
  <si>
    <t>2003-2007</t>
  </si>
  <si>
    <t>2000-2006</t>
  </si>
  <si>
    <t xml:space="preserve">uruguay </t>
  </si>
  <si>
    <t>5 años</t>
  </si>
  <si>
    <t>2000-2005</t>
  </si>
  <si>
    <t>2005-2010</t>
  </si>
  <si>
    <t>2010-2015</t>
  </si>
  <si>
    <t>2015-2020</t>
  </si>
  <si>
    <t>2020-</t>
  </si>
  <si>
    <t>k</t>
  </si>
  <si>
    <t>indice de percepcion de corrupcion de 2002-2022</t>
  </si>
  <si>
    <t>indice de buena gobernazan - control de corrupcion. Banco mundial 2002-2022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</si>
</sst>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2"/>
      <color theme="1"/>
      <name val="Calibri"/>
      <family val="2"/>
      <scheme val="minor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u/>
      <sz val="12"/>
      <color theme="10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name val="Arial"/>
      <family val="2"/>
    </font>
    <font>
      <b/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i/>
      <sz val="12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/>
  </cellStyleXfs>
  <cellXfs count="71">
    <xf numFmtId="0" fontId="0" fillId="0" borderId="0" xfId="0"/>
    <xf numFmtId="0" fontId="1" fillId="0" borderId="0" xfId="0" applyFont="1"/>
    <xf numFmtId="0" fontId="3" fillId="0" borderId="0" xfId="1"/>
    <xf numFmtId="0" fontId="2" fillId="0" borderId="0" xfId="0" applyFont="1"/>
    <xf numFmtId="0" fontId="3" fillId="2" borderId="0" xfId="1" applyFill="1"/>
    <xf numFmtId="0" fontId="2" fillId="2" borderId="0" xfId="0" applyFont="1" applyFill="1"/>
    <xf numFmtId="0" fontId="0" fillId="2" borderId="0" xfId="0" applyFill="1"/>
    <xf numFmtId="0" fontId="3" fillId="3" borderId="0" xfId="1" applyFill="1"/>
    <xf numFmtId="0" fontId="2" fillId="3" borderId="0" xfId="0" applyFont="1" applyFill="1"/>
    <xf numFmtId="0" fontId="0" fillId="3" borderId="0" xfId="0" applyFill="1"/>
    <xf numFmtId="0" fontId="3" fillId="4" borderId="0" xfId="1" applyFill="1"/>
    <xf numFmtId="0" fontId="2" fillId="4" borderId="0" xfId="0" applyFont="1" applyFill="1"/>
    <xf numFmtId="0" fontId="0" fillId="4" borderId="0" xfId="0" applyFill="1"/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5" borderId="0" xfId="1" applyFill="1"/>
    <xf numFmtId="0" fontId="2" fillId="5" borderId="0" xfId="0" applyFont="1" applyFill="1"/>
    <xf numFmtId="0" fontId="0" fillId="5" borderId="0" xfId="0" applyFill="1"/>
    <xf numFmtId="0" fontId="6" fillId="0" borderId="0" xfId="2" applyFont="1" applyAlignment="1">
      <alignment horizontal="center" wrapText="1" shrinkToFit="1"/>
    </xf>
    <xf numFmtId="2" fontId="0" fillId="6" borderId="0" xfId="0" applyNumberFormat="1" applyFill="1"/>
    <xf numFmtId="2" fontId="0" fillId="0" borderId="0" xfId="0" applyNumberFormat="1"/>
    <xf numFmtId="0" fontId="0" fillId="6" borderId="0" xfId="0" applyFill="1"/>
    <xf numFmtId="164" fontId="0" fillId="6" borderId="0" xfId="0" applyNumberFormat="1" applyFill="1"/>
    <xf numFmtId="0" fontId="7" fillId="0" borderId="0" xfId="2" applyFont="1" applyAlignment="1">
      <alignment horizontal="center" wrapText="1"/>
    </xf>
    <xf numFmtId="0" fontId="0" fillId="7" borderId="0" xfId="0" applyFill="1"/>
    <xf numFmtId="0" fontId="7" fillId="7" borderId="0" xfId="2" applyFont="1" applyFill="1" applyAlignment="1">
      <alignment horizontal="center" vertical="center" wrapText="1"/>
    </xf>
    <xf numFmtId="0" fontId="7" fillId="0" borderId="0" xfId="2" applyFont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7" borderId="0" xfId="0" applyNumberFormat="1" applyFill="1" applyAlignment="1">
      <alignment horizontal="center" vertical="center"/>
    </xf>
    <xf numFmtId="0" fontId="8" fillId="0" borderId="4" xfId="0" applyFont="1" applyBorder="1"/>
    <xf numFmtId="0" fontId="8" fillId="0" borderId="5" xfId="0" applyFont="1" applyBorder="1"/>
    <xf numFmtId="0" fontId="8" fillId="0" borderId="3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2" fontId="0" fillId="0" borderId="0" xfId="0" applyNumberForma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0" fillId="8" borderId="0" xfId="2" applyFont="1" applyFill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9" fillId="0" borderId="1" xfId="0" applyFont="1" applyBorder="1" applyAlignment="1">
      <alignment wrapText="1"/>
    </xf>
    <xf numFmtId="0" fontId="9" fillId="0" borderId="0" xfId="0" applyFont="1" applyAlignment="1">
      <alignment horizontal="center" vertical="center"/>
    </xf>
    <xf numFmtId="0" fontId="0" fillId="11" borderId="0" xfId="0" applyFill="1"/>
    <xf numFmtId="0" fontId="0" fillId="7" borderId="0" xfId="0" applyFill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/>
    <xf numFmtId="2" fontId="9" fillId="0" borderId="0" xfId="0" applyNumberFormat="1" applyFont="1"/>
    <xf numFmtId="0" fontId="0" fillId="0" borderId="2" xfId="0" applyBorder="1"/>
    <xf numFmtId="0" fontId="0" fillId="0" borderId="3" xfId="0" applyBorder="1"/>
    <xf numFmtId="0" fontId="8" fillId="12" borderId="3" xfId="0" applyFont="1" applyFill="1" applyBorder="1" applyAlignment="1">
      <alignment horizontal="center"/>
    </xf>
    <xf numFmtId="2" fontId="0" fillId="12" borderId="0" xfId="0" applyNumberFormat="1" applyFill="1"/>
    <xf numFmtId="0" fontId="8" fillId="13" borderId="3" xfId="0" applyFont="1" applyFill="1" applyBorder="1" applyAlignment="1">
      <alignment horizontal="center"/>
    </xf>
    <xf numFmtId="2" fontId="0" fillId="13" borderId="0" xfId="0" applyNumberFormat="1" applyFill="1"/>
    <xf numFmtId="0" fontId="8" fillId="10" borderId="3" xfId="0" applyFont="1" applyFill="1" applyBorder="1" applyAlignment="1">
      <alignment horizontal="center"/>
    </xf>
    <xf numFmtId="2" fontId="0" fillId="10" borderId="0" xfId="0" applyNumberFormat="1" applyFill="1"/>
    <xf numFmtId="0" fontId="8" fillId="14" borderId="2" xfId="0" applyFont="1" applyFill="1" applyBorder="1" applyAlignment="1">
      <alignment horizontal="center"/>
    </xf>
    <xf numFmtId="2" fontId="0" fillId="14" borderId="0" xfId="0" applyNumberFormat="1" applyFill="1"/>
    <xf numFmtId="0" fontId="8" fillId="9" borderId="2" xfId="0" applyFont="1" applyFill="1" applyBorder="1" applyAlignment="1">
      <alignment horizontal="center"/>
    </xf>
    <xf numFmtId="2" fontId="0" fillId="9" borderId="0" xfId="0" applyNumberFormat="1" applyFill="1"/>
    <xf numFmtId="0" fontId="8" fillId="10" borderId="0" xfId="0" applyFont="1" applyFill="1" applyAlignment="1">
      <alignment horizontal="center"/>
    </xf>
    <xf numFmtId="0" fontId="0" fillId="0" borderId="6" xfId="0" applyBorder="1"/>
    <xf numFmtId="0" fontId="0" fillId="0" borderId="0" xfId="0" applyAlignment="1">
      <alignment horizontal="center"/>
    </xf>
  </cellXfs>
  <cellStyles count="3">
    <cellStyle name="_x000d__x000a_JournalTemplate=C:\COMFO\CTALK\JOURSTD.TPL_x000d__x000a_LbStateAddress=3 3 0 251 1 89 2 311_x000d__x000a_LbStateJou" xfId="2" xr:uid="{FB4DF2CB-EB7B-0041-9F40-95A61B9679ED}"/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F40FF"/>
      <color rgb="FF00FE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 GENERAL'!$B$42</c:f>
              <c:strCache>
                <c:ptCount val="1"/>
                <c:pt idx="0">
                  <c:v>ARG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ct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'GRA GENERAL'!$C$41:$M$41</c:f>
              <c:numCache>
                <c:formatCode>General</c:formatCod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numCache>
            </c:numRef>
          </c:cat>
          <c:val>
            <c:numRef>
              <c:f>'GRA GENERAL'!$C$42:$M$42</c:f>
              <c:numCache>
                <c:formatCode>0.00</c:formatCode>
                <c:ptCount val="11"/>
                <c:pt idx="0">
                  <c:v>40.284358978271484</c:v>
                </c:pt>
                <c:pt idx="1">
                  <c:v>40.758293151855469</c:v>
                </c:pt>
                <c:pt idx="2">
                  <c:v>35.576923370361328</c:v>
                </c:pt>
                <c:pt idx="3">
                  <c:v>33.809524536132812</c:v>
                </c:pt>
                <c:pt idx="4">
                  <c:v>45.714286804199219</c:v>
                </c:pt>
                <c:pt idx="5">
                  <c:v>44.285713195800781</c:v>
                </c:pt>
                <c:pt idx="6">
                  <c:v>53.809524536132812</c:v>
                </c:pt>
                <c:pt idx="7">
                  <c:v>52.857143402099609</c:v>
                </c:pt>
                <c:pt idx="8">
                  <c:v>47.619049072265625</c:v>
                </c:pt>
                <c:pt idx="9">
                  <c:v>38.095237731933594</c:v>
                </c:pt>
                <c:pt idx="10">
                  <c:v>36.320755004882812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A7-DB4F-8BDB-E9C0FF13BC71}"/>
            </c:ext>
          </c:extLst>
        </c:ser>
        <c:ser>
          <c:idx val="1"/>
          <c:order val="1"/>
          <c:tx>
            <c:strRef>
              <c:f>'GRA GENERAL'!$B$43</c:f>
              <c:strCache>
                <c:ptCount val="1"/>
                <c:pt idx="0">
                  <c:v>BOL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ct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'GRA GENERAL'!$C$41:$M$41</c:f>
              <c:numCache>
                <c:formatCode>General</c:formatCod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numCache>
            </c:numRef>
          </c:cat>
          <c:val>
            <c:numRef>
              <c:f>'GRA GENERAL'!$C$43:$M$43</c:f>
              <c:numCache>
                <c:formatCode>0.00</c:formatCode>
                <c:ptCount val="11"/>
                <c:pt idx="0">
                  <c:v>27.488151550292969</c:v>
                </c:pt>
                <c:pt idx="1">
                  <c:v>35.071090698242188</c:v>
                </c:pt>
                <c:pt idx="2">
                  <c:v>30.288461685180664</c:v>
                </c:pt>
                <c:pt idx="3">
                  <c:v>26.666666030883789</c:v>
                </c:pt>
                <c:pt idx="4">
                  <c:v>24.285715103149414</c:v>
                </c:pt>
                <c:pt idx="5">
                  <c:v>26.666666030883789</c:v>
                </c:pt>
                <c:pt idx="6">
                  <c:v>27.619047164916992</c:v>
                </c:pt>
                <c:pt idx="7">
                  <c:v>25.714284896850586</c:v>
                </c:pt>
                <c:pt idx="8">
                  <c:v>22.380952835083008</c:v>
                </c:pt>
                <c:pt idx="9">
                  <c:v>20.476190567016602</c:v>
                </c:pt>
                <c:pt idx="10">
                  <c:v>20.754716873168945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A7-DB4F-8BDB-E9C0FF13BC71}"/>
            </c:ext>
          </c:extLst>
        </c:ser>
        <c:ser>
          <c:idx val="2"/>
          <c:order val="2"/>
          <c:tx>
            <c:strRef>
              <c:f>'GRA GENERAL'!$B$44</c:f>
              <c:strCache>
                <c:ptCount val="1"/>
                <c:pt idx="0">
                  <c:v>BRA</c:v>
                </c:pt>
              </c:strCache>
            </c:strRef>
          </c:tx>
          <c:spPr>
            <a:ln w="28575" cap="rnd">
              <a:solidFill>
                <a:srgbClr val="FF40FF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ct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'GRA GENERAL'!$C$41:$M$41</c:f>
              <c:numCache>
                <c:formatCode>General</c:formatCod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numCache>
            </c:numRef>
          </c:cat>
          <c:val>
            <c:numRef>
              <c:f>'GRA GENERAL'!$C$44:$M$44</c:f>
              <c:numCache>
                <c:formatCode>0.00</c:formatCode>
                <c:ptCount val="11"/>
                <c:pt idx="0">
                  <c:v>56.398105621337891</c:v>
                </c:pt>
                <c:pt idx="1">
                  <c:v>54.976303100585938</c:v>
                </c:pt>
                <c:pt idx="2">
                  <c:v>44.230770111083984</c:v>
                </c:pt>
                <c:pt idx="3">
                  <c:v>40.952381134033203</c:v>
                </c:pt>
                <c:pt idx="4">
                  <c:v>39.523811340332031</c:v>
                </c:pt>
                <c:pt idx="5">
                  <c:v>35.714286804199219</c:v>
                </c:pt>
                <c:pt idx="6">
                  <c:v>38.095237731933594</c:v>
                </c:pt>
                <c:pt idx="7">
                  <c:v>40</c:v>
                </c:pt>
                <c:pt idx="8">
                  <c:v>37.619049072265625</c:v>
                </c:pt>
                <c:pt idx="9">
                  <c:v>34.285713195800781</c:v>
                </c:pt>
                <c:pt idx="10">
                  <c:v>32.075469970703125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A7-DB4F-8BDB-E9C0FF13BC71}"/>
            </c:ext>
          </c:extLst>
        </c:ser>
        <c:ser>
          <c:idx val="3"/>
          <c:order val="3"/>
          <c:tx>
            <c:strRef>
              <c:f>'GRA GENERAL'!$B$45</c:f>
              <c:strCache>
                <c:ptCount val="1"/>
                <c:pt idx="0">
                  <c:v>CHL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ct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'GRA GENERAL'!$C$41:$M$41</c:f>
              <c:numCache>
                <c:formatCode>General</c:formatCod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numCache>
            </c:numRef>
          </c:cat>
          <c:val>
            <c:numRef>
              <c:f>'GRA GENERAL'!$C$45:$M$45</c:f>
              <c:numCache>
                <c:formatCode>0.00</c:formatCode>
                <c:ptCount val="11"/>
                <c:pt idx="0">
                  <c:v>90.995262145996094</c:v>
                </c:pt>
                <c:pt idx="1">
                  <c:v>90.047393798828125</c:v>
                </c:pt>
                <c:pt idx="2">
                  <c:v>90.384613037109375</c:v>
                </c:pt>
                <c:pt idx="3">
                  <c:v>87.142860412597656</c:v>
                </c:pt>
                <c:pt idx="4">
                  <c:v>80.476188659667969</c:v>
                </c:pt>
                <c:pt idx="5">
                  <c:v>81.428573608398438</c:v>
                </c:pt>
                <c:pt idx="6">
                  <c:v>80.952377319335938</c:v>
                </c:pt>
                <c:pt idx="7">
                  <c:v>80.476188659667969</c:v>
                </c:pt>
                <c:pt idx="8">
                  <c:v>83.333335876464844</c:v>
                </c:pt>
                <c:pt idx="9">
                  <c:v>80.952377319335938</c:v>
                </c:pt>
                <c:pt idx="10">
                  <c:v>80.660377502441406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A7-DB4F-8BDB-E9C0FF13BC71}"/>
            </c:ext>
          </c:extLst>
        </c:ser>
        <c:ser>
          <c:idx val="4"/>
          <c:order val="4"/>
          <c:tx>
            <c:strRef>
              <c:f>'GRA GENERAL'!$B$46</c:f>
              <c:strCache>
                <c:ptCount val="1"/>
                <c:pt idx="0">
                  <c:v>COL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ct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'GRA GENERAL'!$C$41:$M$41</c:f>
              <c:numCache>
                <c:formatCode>General</c:formatCod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numCache>
            </c:numRef>
          </c:cat>
          <c:val>
            <c:numRef>
              <c:f>'GRA GENERAL'!$C$46:$M$46</c:f>
              <c:numCache>
                <c:formatCode>0.00</c:formatCode>
                <c:ptCount val="11"/>
                <c:pt idx="0">
                  <c:v>42.180095672607422</c:v>
                </c:pt>
                <c:pt idx="1">
                  <c:v>40.284358978271484</c:v>
                </c:pt>
                <c:pt idx="2">
                  <c:v>42.788459777832031</c:v>
                </c:pt>
                <c:pt idx="3">
                  <c:v>44.761905670166016</c:v>
                </c:pt>
                <c:pt idx="4">
                  <c:v>41.904762268066406</c:v>
                </c:pt>
                <c:pt idx="5">
                  <c:v>42.380950927734375</c:v>
                </c:pt>
                <c:pt idx="6">
                  <c:v>43.333332061767578</c:v>
                </c:pt>
                <c:pt idx="7">
                  <c:v>46.190475463867188</c:v>
                </c:pt>
                <c:pt idx="8">
                  <c:v>45.714286804199219</c:v>
                </c:pt>
                <c:pt idx="9">
                  <c:v>42.380950927734375</c:v>
                </c:pt>
                <c:pt idx="10">
                  <c:v>41.037734985351562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DA7-DB4F-8BDB-E9C0FF13BC71}"/>
            </c:ext>
          </c:extLst>
        </c:ser>
        <c:ser>
          <c:idx val="5"/>
          <c:order val="5"/>
          <c:tx>
            <c:strRef>
              <c:f>'GRA GENERAL'!$B$47</c:f>
              <c:strCache>
                <c:ptCount val="1"/>
                <c:pt idx="0">
                  <c:v>ECU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ct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'GRA GENERAL'!$C$41:$M$41</c:f>
              <c:numCache>
                <c:formatCode>General</c:formatCod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numCache>
            </c:numRef>
          </c:cat>
          <c:val>
            <c:numRef>
              <c:f>'GRA GENERAL'!$C$47:$M$47</c:f>
              <c:numCache>
                <c:formatCode>0.00</c:formatCode>
                <c:ptCount val="11"/>
                <c:pt idx="0">
                  <c:v>36.966823577880859</c:v>
                </c:pt>
                <c:pt idx="1">
                  <c:v>37.440757751464844</c:v>
                </c:pt>
                <c:pt idx="2">
                  <c:v>27.403846740722656</c:v>
                </c:pt>
                <c:pt idx="3">
                  <c:v>29.047618865966797</c:v>
                </c:pt>
                <c:pt idx="4">
                  <c:v>28.571428298950195</c:v>
                </c:pt>
                <c:pt idx="5">
                  <c:v>30.952381134033203</c:v>
                </c:pt>
                <c:pt idx="6">
                  <c:v>29.523809432983398</c:v>
                </c:pt>
                <c:pt idx="7">
                  <c:v>34.761905670166016</c:v>
                </c:pt>
                <c:pt idx="8">
                  <c:v>33.809524536132812</c:v>
                </c:pt>
                <c:pt idx="9">
                  <c:v>30</c:v>
                </c:pt>
                <c:pt idx="10">
                  <c:v>29.716981887817383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DA7-DB4F-8BDB-E9C0FF13BC71}"/>
            </c:ext>
          </c:extLst>
        </c:ser>
        <c:ser>
          <c:idx val="6"/>
          <c:order val="6"/>
          <c:tx>
            <c:strRef>
              <c:f>'GRA GENERAL'!$B$48</c:f>
              <c:strCache>
                <c:ptCount val="1"/>
                <c:pt idx="0">
                  <c:v>PER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ct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'GRA GENERAL'!$C$41:$M$41</c:f>
              <c:numCache>
                <c:formatCode>General</c:formatCod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numCache>
            </c:numRef>
          </c:cat>
          <c:val>
            <c:numRef>
              <c:f>'GRA GENERAL'!$C$48:$M$48</c:f>
              <c:numCache>
                <c:formatCode>0.00</c:formatCode>
                <c:ptCount val="11"/>
                <c:pt idx="0">
                  <c:v>43.127960205078125</c:v>
                </c:pt>
                <c:pt idx="1">
                  <c:v>39.8104248046875</c:v>
                </c:pt>
                <c:pt idx="2">
                  <c:v>31.730770111083984</c:v>
                </c:pt>
                <c:pt idx="3">
                  <c:v>31.904762268066406</c:v>
                </c:pt>
                <c:pt idx="4">
                  <c:v>40.952381134033203</c:v>
                </c:pt>
                <c:pt idx="5">
                  <c:v>35.238094329833984</c:v>
                </c:pt>
                <c:pt idx="6">
                  <c:v>31.428571701049805</c:v>
                </c:pt>
                <c:pt idx="7">
                  <c:v>34.285713195800781</c:v>
                </c:pt>
                <c:pt idx="8">
                  <c:v>32.857143402099609</c:v>
                </c:pt>
                <c:pt idx="9">
                  <c:v>28.571428298950195</c:v>
                </c:pt>
                <c:pt idx="10">
                  <c:v>22.169811248779297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DA7-DB4F-8BDB-E9C0FF13BC71}"/>
            </c:ext>
          </c:extLst>
        </c:ser>
        <c:ser>
          <c:idx val="7"/>
          <c:order val="7"/>
          <c:tx>
            <c:strRef>
              <c:f>'GRA GENERAL'!$B$49</c:f>
              <c:strCache>
                <c:ptCount val="1"/>
                <c:pt idx="0">
                  <c:v>PRY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ct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'GRA GENERAL'!$C$41:$M$41</c:f>
              <c:numCache>
                <c:formatCode>General</c:formatCod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numCache>
            </c:numRef>
          </c:cat>
          <c:val>
            <c:numRef>
              <c:f>'GRA GENERAL'!$C$49:$M$49</c:f>
              <c:numCache>
                <c:formatCode>0.00</c:formatCode>
                <c:ptCount val="11"/>
                <c:pt idx="0">
                  <c:v>21.327014923095703</c:v>
                </c:pt>
                <c:pt idx="1">
                  <c:v>14.218009948730469</c:v>
                </c:pt>
                <c:pt idx="2">
                  <c:v>15.384614944458008</c:v>
                </c:pt>
                <c:pt idx="3">
                  <c:v>14.761904716491699</c:v>
                </c:pt>
                <c:pt idx="4">
                  <c:v>24.761905670166016</c:v>
                </c:pt>
                <c:pt idx="5">
                  <c:v>24.761905670166016</c:v>
                </c:pt>
                <c:pt idx="6">
                  <c:v>19.047618865966797</c:v>
                </c:pt>
                <c:pt idx="7">
                  <c:v>19.523809432983398</c:v>
                </c:pt>
                <c:pt idx="8">
                  <c:v>21.428571701049805</c:v>
                </c:pt>
                <c:pt idx="9">
                  <c:v>16.666666030883789</c:v>
                </c:pt>
                <c:pt idx="10">
                  <c:v>15.094339370727539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DA7-DB4F-8BDB-E9C0FF13BC71}"/>
            </c:ext>
          </c:extLst>
        </c:ser>
        <c:ser>
          <c:idx val="8"/>
          <c:order val="8"/>
          <c:tx>
            <c:strRef>
              <c:f>'GRA GENERAL'!$B$50</c:f>
              <c:strCache>
                <c:ptCount val="1"/>
                <c:pt idx="0">
                  <c:v>URY</c:v>
                </c:pt>
              </c:strCache>
            </c:strRef>
          </c:tx>
          <c:spPr>
            <a:ln w="28575" cap="rnd">
              <a:solidFill>
                <a:srgbClr val="00FE00"/>
              </a:solidFill>
              <a:round/>
              <a:headEnd type="oval"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ct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'GRA GENERAL'!$C$41:$M$41</c:f>
              <c:numCache>
                <c:formatCode>General</c:formatCod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numCache>
            </c:numRef>
          </c:cat>
          <c:val>
            <c:numRef>
              <c:f>'GRA GENERAL'!$C$50:$M$50</c:f>
              <c:numCache>
                <c:formatCode>0.00</c:formatCode>
                <c:ptCount val="11"/>
                <c:pt idx="0">
                  <c:v>88.625595092773438</c:v>
                </c:pt>
                <c:pt idx="1">
                  <c:v>89.573463439941406</c:v>
                </c:pt>
                <c:pt idx="2">
                  <c:v>89.903846740722656</c:v>
                </c:pt>
                <c:pt idx="3">
                  <c:v>89.047622680664062</c:v>
                </c:pt>
                <c:pt idx="4">
                  <c:v>89.047622680664062</c:v>
                </c:pt>
                <c:pt idx="5">
                  <c:v>88.095237731933594</c:v>
                </c:pt>
                <c:pt idx="6">
                  <c:v>86.666664123535156</c:v>
                </c:pt>
                <c:pt idx="7">
                  <c:v>88.095237731933594</c:v>
                </c:pt>
                <c:pt idx="8">
                  <c:v>89.047622680664062</c:v>
                </c:pt>
                <c:pt idx="9">
                  <c:v>91.428573608398438</c:v>
                </c:pt>
                <c:pt idx="10">
                  <c:v>91.981132507324219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DA7-DB4F-8BDB-E9C0FF13BC71}"/>
            </c:ext>
          </c:extLst>
        </c:ser>
        <c:ser>
          <c:idx val="9"/>
          <c:order val="9"/>
          <c:tx>
            <c:strRef>
              <c:f>'GRA GENERAL'!$B$51</c:f>
              <c:strCache>
                <c:ptCount val="1"/>
                <c:pt idx="0">
                  <c:v>VEN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ct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'GRA GENERAL'!$C$41:$M$41</c:f>
              <c:numCache>
                <c:formatCode>General</c:formatCod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numCache>
            </c:numRef>
          </c:cat>
          <c:val>
            <c:numRef>
              <c:f>'GRA GENERAL'!$C$51:$M$51</c:f>
              <c:numCache>
                <c:formatCode>0.00</c:formatCode>
                <c:ptCount val="11"/>
                <c:pt idx="0">
                  <c:v>8.0568723678588867</c:v>
                </c:pt>
                <c:pt idx="1">
                  <c:v>6.161137580871582</c:v>
                </c:pt>
                <c:pt idx="2">
                  <c:v>4.8076925277709961</c:v>
                </c:pt>
                <c:pt idx="3">
                  <c:v>4.7619047164916992</c:v>
                </c:pt>
                <c:pt idx="4">
                  <c:v>7.1428570747375488</c:v>
                </c:pt>
                <c:pt idx="5">
                  <c:v>6.6666665077209473</c:v>
                </c:pt>
                <c:pt idx="6">
                  <c:v>4.2857141494750977</c:v>
                </c:pt>
                <c:pt idx="7">
                  <c:v>3.8095238208770752</c:v>
                </c:pt>
                <c:pt idx="8">
                  <c:v>3.3333332538604736</c:v>
                </c:pt>
                <c:pt idx="9">
                  <c:v>1.9047619104385376</c:v>
                </c:pt>
                <c:pt idx="10">
                  <c:v>1.8867924213409424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DA7-DB4F-8BDB-E9C0FF13B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4553040"/>
        <c:axId val="2124281824"/>
      </c:lineChart>
      <c:catAx>
        <c:axId val="125455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124281824"/>
        <c:crosses val="autoZero"/>
        <c:auto val="1"/>
        <c:lblAlgn val="ctr"/>
        <c:lblOffset val="100"/>
        <c:noMultiLvlLbl val="0"/>
      </c:catAx>
      <c:valAx>
        <c:axId val="212428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25455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Hoja1!$B$3</c:f>
              <c:strCache>
                <c:ptCount val="1"/>
                <c:pt idx="0">
                  <c:v>ARG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Hoja1!$C$2:$W$2</c:f>
              <c:numCache>
                <c:formatCode>General</c:formatCode>
                <c:ptCount val="2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</c:numCache>
            </c:numRef>
          </c:cat>
          <c:val>
            <c:numRef>
              <c:f>Hoja1!$C$3:$W$3</c:f>
              <c:numCache>
                <c:formatCode>0.00</c:formatCode>
                <c:ptCount val="21"/>
                <c:pt idx="0">
                  <c:v>41.798942565917969</c:v>
                </c:pt>
                <c:pt idx="1">
                  <c:v>40.211639404296875</c:v>
                </c:pt>
                <c:pt idx="2">
                  <c:v>39.901477813720703</c:v>
                </c:pt>
                <c:pt idx="3">
                  <c:v>43.414634704589844</c:v>
                </c:pt>
                <c:pt idx="4">
                  <c:v>43.414634704589844</c:v>
                </c:pt>
                <c:pt idx="5">
                  <c:v>44.174758911132812</c:v>
                </c:pt>
                <c:pt idx="6">
                  <c:v>39.805824279785156</c:v>
                </c:pt>
                <c:pt idx="7">
                  <c:v>40.191387176513672</c:v>
                </c:pt>
                <c:pt idx="8">
                  <c:v>44.761905670166016</c:v>
                </c:pt>
                <c:pt idx="9">
                  <c:v>43.601894378662109</c:v>
                </c:pt>
                <c:pt idx="10">
                  <c:v>40.284358978271484</c:v>
                </c:pt>
                <c:pt idx="11">
                  <c:v>40.758293151855469</c:v>
                </c:pt>
                <c:pt idx="12">
                  <c:v>35.576923370361328</c:v>
                </c:pt>
                <c:pt idx="13">
                  <c:v>33.809524536132812</c:v>
                </c:pt>
                <c:pt idx="14">
                  <c:v>45.714286804199219</c:v>
                </c:pt>
                <c:pt idx="15">
                  <c:v>44.285713195800781</c:v>
                </c:pt>
                <c:pt idx="16">
                  <c:v>53.809524536132812</c:v>
                </c:pt>
                <c:pt idx="17">
                  <c:v>52.857143402099609</c:v>
                </c:pt>
                <c:pt idx="18">
                  <c:v>47.619049072265625</c:v>
                </c:pt>
                <c:pt idx="19">
                  <c:v>38.095237731933594</c:v>
                </c:pt>
                <c:pt idx="20">
                  <c:v>36.320755004882812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F1-264C-A8B2-3EEC85BB0392}"/>
            </c:ext>
          </c:extLst>
        </c:ser>
        <c:ser>
          <c:idx val="1"/>
          <c:order val="1"/>
          <c:tx>
            <c:strRef>
              <c:f>Hoja1!$B$4</c:f>
              <c:strCache>
                <c:ptCount val="1"/>
                <c:pt idx="0">
                  <c:v>BOL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Hoja1!$C$2:$W$2</c:f>
              <c:numCache>
                <c:formatCode>General</c:formatCode>
                <c:ptCount val="2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</c:numCache>
            </c:numRef>
          </c:cat>
          <c:val>
            <c:numRef>
              <c:f>Hoja1!$C$4:$W$4</c:f>
              <c:numCache>
                <c:formatCode>0.00</c:formatCode>
                <c:ptCount val="21"/>
                <c:pt idx="0">
                  <c:v>22.222221374511719</c:v>
                </c:pt>
                <c:pt idx="1">
                  <c:v>23.280424118041992</c:v>
                </c:pt>
                <c:pt idx="2">
                  <c:v>24.630542755126953</c:v>
                </c:pt>
                <c:pt idx="3">
                  <c:v>24.390243530273438</c:v>
                </c:pt>
                <c:pt idx="4">
                  <c:v>39.512195587158203</c:v>
                </c:pt>
                <c:pt idx="5">
                  <c:v>39.805824279785156</c:v>
                </c:pt>
                <c:pt idx="6">
                  <c:v>35.922328948974609</c:v>
                </c:pt>
                <c:pt idx="7">
                  <c:v>29.186603546142578</c:v>
                </c:pt>
                <c:pt idx="8">
                  <c:v>40</c:v>
                </c:pt>
                <c:pt idx="9">
                  <c:v>34.123222351074219</c:v>
                </c:pt>
                <c:pt idx="10">
                  <c:v>27.488151550292969</c:v>
                </c:pt>
                <c:pt idx="11">
                  <c:v>35.071090698242188</c:v>
                </c:pt>
                <c:pt idx="12">
                  <c:v>30.288461685180664</c:v>
                </c:pt>
                <c:pt idx="13">
                  <c:v>26.666666030883789</c:v>
                </c:pt>
                <c:pt idx="14">
                  <c:v>24.285715103149414</c:v>
                </c:pt>
                <c:pt idx="15">
                  <c:v>26.666666030883789</c:v>
                </c:pt>
                <c:pt idx="16">
                  <c:v>27.619047164916992</c:v>
                </c:pt>
                <c:pt idx="17">
                  <c:v>25.714284896850586</c:v>
                </c:pt>
                <c:pt idx="18">
                  <c:v>22.380952835083008</c:v>
                </c:pt>
                <c:pt idx="19">
                  <c:v>20.476190567016602</c:v>
                </c:pt>
                <c:pt idx="20">
                  <c:v>20.754716873168945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F1-264C-A8B2-3EEC85BB0392}"/>
            </c:ext>
          </c:extLst>
        </c:ser>
        <c:ser>
          <c:idx val="2"/>
          <c:order val="2"/>
          <c:tx>
            <c:strRef>
              <c:f>Hoja1!$B$5</c:f>
              <c:strCache>
                <c:ptCount val="1"/>
                <c:pt idx="0">
                  <c:v>BRA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Hoja1!$C$2:$W$2</c:f>
              <c:numCache>
                <c:formatCode>General</c:formatCode>
                <c:ptCount val="2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</c:numCache>
            </c:numRef>
          </c:cat>
          <c:val>
            <c:numRef>
              <c:f>Hoja1!$C$5:$W$5</c:f>
              <c:numCache>
                <c:formatCode>0.00</c:formatCode>
                <c:ptCount val="21"/>
                <c:pt idx="0">
                  <c:v>58.730159759521484</c:v>
                </c:pt>
                <c:pt idx="1">
                  <c:v>59.788360595703125</c:v>
                </c:pt>
                <c:pt idx="2">
                  <c:v>54.679801940917969</c:v>
                </c:pt>
                <c:pt idx="3">
                  <c:v>51.707317352294922</c:v>
                </c:pt>
                <c:pt idx="4">
                  <c:v>53.170730590820312</c:v>
                </c:pt>
                <c:pt idx="5">
                  <c:v>54.8543701171875</c:v>
                </c:pt>
                <c:pt idx="6">
                  <c:v>57.766990661621094</c:v>
                </c:pt>
                <c:pt idx="7">
                  <c:v>56.459331512451172</c:v>
                </c:pt>
                <c:pt idx="8">
                  <c:v>60.476188659667969</c:v>
                </c:pt>
                <c:pt idx="9">
                  <c:v>63.033176422119141</c:v>
                </c:pt>
                <c:pt idx="10">
                  <c:v>56.398105621337891</c:v>
                </c:pt>
                <c:pt idx="11">
                  <c:v>54.976303100585938</c:v>
                </c:pt>
                <c:pt idx="12">
                  <c:v>44.230770111083984</c:v>
                </c:pt>
                <c:pt idx="13">
                  <c:v>40.952381134033203</c:v>
                </c:pt>
                <c:pt idx="14">
                  <c:v>39.523811340332031</c:v>
                </c:pt>
                <c:pt idx="15">
                  <c:v>35.714286804199219</c:v>
                </c:pt>
                <c:pt idx="16">
                  <c:v>38.095237731933594</c:v>
                </c:pt>
                <c:pt idx="17">
                  <c:v>40</c:v>
                </c:pt>
                <c:pt idx="18">
                  <c:v>37.619049072265625</c:v>
                </c:pt>
                <c:pt idx="19">
                  <c:v>34.285713195800781</c:v>
                </c:pt>
                <c:pt idx="20">
                  <c:v>32.075469970703125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F1-264C-A8B2-3EEC85BB0392}"/>
            </c:ext>
          </c:extLst>
        </c:ser>
        <c:ser>
          <c:idx val="3"/>
          <c:order val="3"/>
          <c:tx>
            <c:strRef>
              <c:f>Hoja1!$B$6</c:f>
              <c:strCache>
                <c:ptCount val="1"/>
                <c:pt idx="0">
                  <c:v>CHL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Hoja1!$C$2:$W$2</c:f>
              <c:numCache>
                <c:formatCode>General</c:formatCode>
                <c:ptCount val="2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</c:numCache>
            </c:numRef>
          </c:cat>
          <c:val>
            <c:numRef>
              <c:f>Hoja1!$C$6:$W$6</c:f>
              <c:numCache>
                <c:formatCode>0.00</c:formatCode>
                <c:ptCount val="21"/>
                <c:pt idx="0">
                  <c:v>90.476188659667969</c:v>
                </c:pt>
                <c:pt idx="1">
                  <c:v>83.597885131835938</c:v>
                </c:pt>
                <c:pt idx="2">
                  <c:v>87.684730529785156</c:v>
                </c:pt>
                <c:pt idx="3">
                  <c:v>91.219512939453125</c:v>
                </c:pt>
                <c:pt idx="4">
                  <c:v>91.219512939453125</c:v>
                </c:pt>
                <c:pt idx="5">
                  <c:v>89.805824279785156</c:v>
                </c:pt>
                <c:pt idx="6">
                  <c:v>88.349517822265625</c:v>
                </c:pt>
                <c:pt idx="7">
                  <c:v>88.038276672363281</c:v>
                </c:pt>
                <c:pt idx="8">
                  <c:v>89.523811340332031</c:v>
                </c:pt>
                <c:pt idx="9">
                  <c:v>90.047393798828125</c:v>
                </c:pt>
                <c:pt idx="10">
                  <c:v>90.995262145996094</c:v>
                </c:pt>
                <c:pt idx="11">
                  <c:v>90.047393798828125</c:v>
                </c:pt>
                <c:pt idx="12">
                  <c:v>90.384613037109375</c:v>
                </c:pt>
                <c:pt idx="13">
                  <c:v>87.142860412597656</c:v>
                </c:pt>
                <c:pt idx="14">
                  <c:v>80.476188659667969</c:v>
                </c:pt>
                <c:pt idx="15">
                  <c:v>81.428573608398438</c:v>
                </c:pt>
                <c:pt idx="16">
                  <c:v>80.952377319335938</c:v>
                </c:pt>
                <c:pt idx="17">
                  <c:v>80.476188659667969</c:v>
                </c:pt>
                <c:pt idx="18">
                  <c:v>83.333335876464844</c:v>
                </c:pt>
                <c:pt idx="19">
                  <c:v>80.952377319335938</c:v>
                </c:pt>
                <c:pt idx="20">
                  <c:v>80.660377502441406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F1-264C-A8B2-3EEC85BB0392}"/>
            </c:ext>
          </c:extLst>
        </c:ser>
        <c:ser>
          <c:idx val="4"/>
          <c:order val="4"/>
          <c:tx>
            <c:strRef>
              <c:f>Hoja1!$B$7</c:f>
              <c:strCache>
                <c:ptCount val="1"/>
                <c:pt idx="0">
                  <c:v>COL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Hoja1!$C$2:$W$2</c:f>
              <c:numCache>
                <c:formatCode>General</c:formatCode>
                <c:ptCount val="2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</c:numCache>
            </c:numRef>
          </c:cat>
          <c:val>
            <c:numRef>
              <c:f>Hoja1!$C$7:$W$7</c:f>
              <c:numCache>
                <c:formatCode>0.00</c:formatCode>
                <c:ptCount val="21"/>
                <c:pt idx="0">
                  <c:v>46.560848236083984</c:v>
                </c:pt>
                <c:pt idx="1">
                  <c:v>50.793651580810547</c:v>
                </c:pt>
                <c:pt idx="2">
                  <c:v>52.216747283935547</c:v>
                </c:pt>
                <c:pt idx="3">
                  <c:v>52.195121765136719</c:v>
                </c:pt>
                <c:pt idx="4">
                  <c:v>52.195121765136719</c:v>
                </c:pt>
                <c:pt idx="5">
                  <c:v>49.029125213623047</c:v>
                </c:pt>
                <c:pt idx="6">
                  <c:v>49.514564514160156</c:v>
                </c:pt>
                <c:pt idx="7">
                  <c:v>45.454544067382812</c:v>
                </c:pt>
                <c:pt idx="8">
                  <c:v>41.428569793701172</c:v>
                </c:pt>
                <c:pt idx="9">
                  <c:v>47.393363952636719</c:v>
                </c:pt>
                <c:pt idx="10">
                  <c:v>42.180095672607422</c:v>
                </c:pt>
                <c:pt idx="11">
                  <c:v>40.284358978271484</c:v>
                </c:pt>
                <c:pt idx="12">
                  <c:v>42.788459777832031</c:v>
                </c:pt>
                <c:pt idx="13">
                  <c:v>44.761905670166016</c:v>
                </c:pt>
                <c:pt idx="14">
                  <c:v>41.904762268066406</c:v>
                </c:pt>
                <c:pt idx="15">
                  <c:v>42.380950927734375</c:v>
                </c:pt>
                <c:pt idx="16">
                  <c:v>43.333332061767578</c:v>
                </c:pt>
                <c:pt idx="17">
                  <c:v>46.190475463867188</c:v>
                </c:pt>
                <c:pt idx="18">
                  <c:v>45.714286804199219</c:v>
                </c:pt>
                <c:pt idx="19">
                  <c:v>42.380950927734375</c:v>
                </c:pt>
                <c:pt idx="20">
                  <c:v>41.037734985351562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F1-264C-A8B2-3EEC85BB0392}"/>
            </c:ext>
          </c:extLst>
        </c:ser>
        <c:ser>
          <c:idx val="5"/>
          <c:order val="5"/>
          <c:tx>
            <c:strRef>
              <c:f>Hoja1!$B$8</c:f>
              <c:strCache>
                <c:ptCount val="1"/>
                <c:pt idx="0">
                  <c:v>ECU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Hoja1!$C$2:$W$2</c:f>
              <c:numCache>
                <c:formatCode>General</c:formatCode>
                <c:ptCount val="2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</c:numCache>
            </c:numRef>
          </c:cat>
          <c:val>
            <c:numRef>
              <c:f>Hoja1!$C$8:$W$8</c:f>
              <c:numCache>
                <c:formatCode>0.00</c:formatCode>
                <c:ptCount val="21"/>
                <c:pt idx="0">
                  <c:v>23.809524536132812</c:v>
                </c:pt>
                <c:pt idx="1">
                  <c:v>29.100528717041016</c:v>
                </c:pt>
                <c:pt idx="2">
                  <c:v>27.093595504760742</c:v>
                </c:pt>
                <c:pt idx="3">
                  <c:v>25.365854263305664</c:v>
                </c:pt>
                <c:pt idx="4">
                  <c:v>24.390243530273438</c:v>
                </c:pt>
                <c:pt idx="5">
                  <c:v>26.699029922485352</c:v>
                </c:pt>
                <c:pt idx="6">
                  <c:v>31.067960739135742</c:v>
                </c:pt>
                <c:pt idx="7">
                  <c:v>24.880382537841797</c:v>
                </c:pt>
                <c:pt idx="8">
                  <c:v>26.190475463867188</c:v>
                </c:pt>
                <c:pt idx="9">
                  <c:v>28.909952163696289</c:v>
                </c:pt>
                <c:pt idx="10">
                  <c:v>36.966823577880859</c:v>
                </c:pt>
                <c:pt idx="11">
                  <c:v>37.440757751464844</c:v>
                </c:pt>
                <c:pt idx="12">
                  <c:v>27.403846740722656</c:v>
                </c:pt>
                <c:pt idx="13">
                  <c:v>29.047618865966797</c:v>
                </c:pt>
                <c:pt idx="14">
                  <c:v>28.571428298950195</c:v>
                </c:pt>
                <c:pt idx="15">
                  <c:v>30.952381134033203</c:v>
                </c:pt>
                <c:pt idx="16">
                  <c:v>29.523809432983398</c:v>
                </c:pt>
                <c:pt idx="17">
                  <c:v>34.761905670166016</c:v>
                </c:pt>
                <c:pt idx="18">
                  <c:v>33.809524536132812</c:v>
                </c:pt>
                <c:pt idx="19">
                  <c:v>30</c:v>
                </c:pt>
                <c:pt idx="20">
                  <c:v>29.716981887817383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0F1-264C-A8B2-3EEC85BB0392}"/>
            </c:ext>
          </c:extLst>
        </c:ser>
        <c:ser>
          <c:idx val="6"/>
          <c:order val="6"/>
          <c:tx>
            <c:strRef>
              <c:f>Hoja1!$B$9</c:f>
              <c:strCache>
                <c:ptCount val="1"/>
                <c:pt idx="0">
                  <c:v>PER</c:v>
                </c:pt>
              </c:strCache>
            </c:strRef>
          </c:tx>
          <c:spPr>
            <a:ln w="317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Hoja1!$C$2:$W$2</c:f>
              <c:numCache>
                <c:formatCode>General</c:formatCode>
                <c:ptCount val="2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</c:numCache>
            </c:numRef>
          </c:cat>
          <c:val>
            <c:numRef>
              <c:f>Hoja1!$C$9:$W$9</c:f>
              <c:numCache>
                <c:formatCode>0.00</c:formatCode>
                <c:ptCount val="21"/>
                <c:pt idx="0">
                  <c:v>46.031745910644531</c:v>
                </c:pt>
                <c:pt idx="1">
                  <c:v>53.439151763916016</c:v>
                </c:pt>
                <c:pt idx="2">
                  <c:v>38.916255950927734</c:v>
                </c:pt>
                <c:pt idx="3">
                  <c:v>44.390243530273438</c:v>
                </c:pt>
                <c:pt idx="4">
                  <c:v>48.780487060546875</c:v>
                </c:pt>
                <c:pt idx="5">
                  <c:v>49.514564514160156</c:v>
                </c:pt>
                <c:pt idx="6">
                  <c:v>52.42718505859375</c:v>
                </c:pt>
                <c:pt idx="7">
                  <c:v>45.933013916015625</c:v>
                </c:pt>
                <c:pt idx="8">
                  <c:v>50.476188659667969</c:v>
                </c:pt>
                <c:pt idx="9">
                  <c:v>51.658767700195312</c:v>
                </c:pt>
                <c:pt idx="10">
                  <c:v>43.127960205078125</c:v>
                </c:pt>
                <c:pt idx="11">
                  <c:v>39.8104248046875</c:v>
                </c:pt>
                <c:pt idx="12">
                  <c:v>31.730770111083984</c:v>
                </c:pt>
                <c:pt idx="13">
                  <c:v>31.904762268066406</c:v>
                </c:pt>
                <c:pt idx="14">
                  <c:v>40.952381134033203</c:v>
                </c:pt>
                <c:pt idx="15">
                  <c:v>35.238094329833984</c:v>
                </c:pt>
                <c:pt idx="16">
                  <c:v>31.428571701049805</c:v>
                </c:pt>
                <c:pt idx="17">
                  <c:v>34.285713195800781</c:v>
                </c:pt>
                <c:pt idx="18">
                  <c:v>32.857143402099609</c:v>
                </c:pt>
                <c:pt idx="19">
                  <c:v>28.571428298950195</c:v>
                </c:pt>
                <c:pt idx="20">
                  <c:v>22.169811248779297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0F1-264C-A8B2-3EEC85BB0392}"/>
            </c:ext>
          </c:extLst>
        </c:ser>
        <c:ser>
          <c:idx val="7"/>
          <c:order val="7"/>
          <c:tx>
            <c:strRef>
              <c:f>Hoja1!$B$10</c:f>
              <c:strCache>
                <c:ptCount val="1"/>
                <c:pt idx="0">
                  <c:v>PRY</c:v>
                </c:pt>
              </c:strCache>
            </c:strRef>
          </c:tx>
          <c:spPr>
            <a:ln w="317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Hoja1!$C$2:$W$2</c:f>
              <c:numCache>
                <c:formatCode>General</c:formatCode>
                <c:ptCount val="2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</c:numCache>
            </c:numRef>
          </c:cat>
          <c:val>
            <c:numRef>
              <c:f>Hoja1!$C$10:$W$10</c:f>
              <c:numCache>
                <c:formatCode>0.00</c:formatCode>
                <c:ptCount val="21"/>
                <c:pt idx="0">
                  <c:v>2.6455025672912598</c:v>
                </c:pt>
                <c:pt idx="1">
                  <c:v>3.1746032238006592</c:v>
                </c:pt>
                <c:pt idx="2">
                  <c:v>3.9408867359161377</c:v>
                </c:pt>
                <c:pt idx="3">
                  <c:v>4.8780488967895508</c:v>
                </c:pt>
                <c:pt idx="4">
                  <c:v>9.7560977935791016</c:v>
                </c:pt>
                <c:pt idx="5">
                  <c:v>7.7669901847839355</c:v>
                </c:pt>
                <c:pt idx="6">
                  <c:v>16.504854202270508</c:v>
                </c:pt>
                <c:pt idx="7">
                  <c:v>22.966506958007812</c:v>
                </c:pt>
                <c:pt idx="8">
                  <c:v>26.666666030883789</c:v>
                </c:pt>
                <c:pt idx="9">
                  <c:v>25.592416763305664</c:v>
                </c:pt>
                <c:pt idx="10">
                  <c:v>21.327014923095703</c:v>
                </c:pt>
                <c:pt idx="11">
                  <c:v>14.218009948730469</c:v>
                </c:pt>
                <c:pt idx="12">
                  <c:v>15.384614944458008</c:v>
                </c:pt>
                <c:pt idx="13">
                  <c:v>14.761904716491699</c:v>
                </c:pt>
                <c:pt idx="14">
                  <c:v>24.761905670166016</c:v>
                </c:pt>
                <c:pt idx="15">
                  <c:v>24.761905670166016</c:v>
                </c:pt>
                <c:pt idx="16">
                  <c:v>19.047618865966797</c:v>
                </c:pt>
                <c:pt idx="17">
                  <c:v>19.523809432983398</c:v>
                </c:pt>
                <c:pt idx="18">
                  <c:v>21.428571701049805</c:v>
                </c:pt>
                <c:pt idx="19">
                  <c:v>16.666666030883789</c:v>
                </c:pt>
                <c:pt idx="20">
                  <c:v>15.094339370727539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0F1-264C-A8B2-3EEC85BB0392}"/>
            </c:ext>
          </c:extLst>
        </c:ser>
        <c:ser>
          <c:idx val="8"/>
          <c:order val="8"/>
          <c:tx>
            <c:strRef>
              <c:f>Hoja1!$B$11</c:f>
              <c:strCache>
                <c:ptCount val="1"/>
                <c:pt idx="0">
                  <c:v>URY</c:v>
                </c:pt>
              </c:strCache>
            </c:strRef>
          </c:tx>
          <c:spPr>
            <a:ln w="317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Hoja1!$C$2:$W$2</c:f>
              <c:numCache>
                <c:formatCode>General</c:formatCode>
                <c:ptCount val="2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</c:numCache>
            </c:numRef>
          </c:cat>
          <c:val>
            <c:numRef>
              <c:f>Hoja1!$C$11:$W$11</c:f>
              <c:numCache>
                <c:formatCode>0.00</c:formatCode>
                <c:ptCount val="21"/>
                <c:pt idx="0">
                  <c:v>82.010581970214844</c:v>
                </c:pt>
                <c:pt idx="1">
                  <c:v>82.539680480957031</c:v>
                </c:pt>
                <c:pt idx="2">
                  <c:v>81.280784606933594</c:v>
                </c:pt>
                <c:pt idx="3">
                  <c:v>81.951217651367188</c:v>
                </c:pt>
                <c:pt idx="4">
                  <c:v>83.902435302734375</c:v>
                </c:pt>
                <c:pt idx="5">
                  <c:v>88.834953308105469</c:v>
                </c:pt>
                <c:pt idx="6">
                  <c:v>89.805824279785156</c:v>
                </c:pt>
                <c:pt idx="7">
                  <c:v>84.688995361328125</c:v>
                </c:pt>
                <c:pt idx="8">
                  <c:v>85.714286804199219</c:v>
                </c:pt>
                <c:pt idx="9">
                  <c:v>87.677726745605469</c:v>
                </c:pt>
                <c:pt idx="10">
                  <c:v>88.625595092773438</c:v>
                </c:pt>
                <c:pt idx="11">
                  <c:v>89.573463439941406</c:v>
                </c:pt>
                <c:pt idx="12">
                  <c:v>89.903846740722656</c:v>
                </c:pt>
                <c:pt idx="13">
                  <c:v>89.047622680664062</c:v>
                </c:pt>
                <c:pt idx="14">
                  <c:v>89.047622680664062</c:v>
                </c:pt>
                <c:pt idx="15">
                  <c:v>88.095237731933594</c:v>
                </c:pt>
                <c:pt idx="16">
                  <c:v>86.666664123535156</c:v>
                </c:pt>
                <c:pt idx="17">
                  <c:v>88.095237731933594</c:v>
                </c:pt>
                <c:pt idx="18">
                  <c:v>89.047622680664062</c:v>
                </c:pt>
                <c:pt idx="19">
                  <c:v>91.428573608398438</c:v>
                </c:pt>
                <c:pt idx="20">
                  <c:v>91.981132507324219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0F1-264C-A8B2-3EEC85BB0392}"/>
            </c:ext>
          </c:extLst>
        </c:ser>
        <c:ser>
          <c:idx val="9"/>
          <c:order val="9"/>
          <c:tx>
            <c:strRef>
              <c:f>Hoja1!$B$12</c:f>
              <c:strCache>
                <c:ptCount val="1"/>
                <c:pt idx="0">
                  <c:v>VEN</c:v>
                </c:pt>
              </c:strCache>
            </c:strRef>
          </c:tx>
          <c:spPr>
            <a:ln w="317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Hoja1!$C$2:$W$2</c:f>
              <c:numCache>
                <c:formatCode>General</c:formatCode>
                <c:ptCount val="2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</c:numCache>
            </c:numRef>
          </c:cat>
          <c:val>
            <c:numRef>
              <c:f>Hoja1!$C$12:$W$12</c:f>
              <c:numCache>
                <c:formatCode>0.00</c:formatCode>
                <c:ptCount val="21"/>
                <c:pt idx="0">
                  <c:v>10.582010269165039</c:v>
                </c:pt>
                <c:pt idx="1">
                  <c:v>10.052909851074219</c:v>
                </c:pt>
                <c:pt idx="2">
                  <c:v>17.241378784179688</c:v>
                </c:pt>
                <c:pt idx="3">
                  <c:v>16.097560882568359</c:v>
                </c:pt>
                <c:pt idx="4">
                  <c:v>15.121951103210449</c:v>
                </c:pt>
                <c:pt idx="5">
                  <c:v>12.621358871459961</c:v>
                </c:pt>
                <c:pt idx="6">
                  <c:v>11.165048599243164</c:v>
                </c:pt>
                <c:pt idx="7">
                  <c:v>10.047846794128418</c:v>
                </c:pt>
                <c:pt idx="8">
                  <c:v>8.0952377319335938</c:v>
                </c:pt>
                <c:pt idx="9">
                  <c:v>11.84834098815918</c:v>
                </c:pt>
                <c:pt idx="10">
                  <c:v>8.0568723678588867</c:v>
                </c:pt>
                <c:pt idx="11">
                  <c:v>6.161137580871582</c:v>
                </c:pt>
                <c:pt idx="12">
                  <c:v>4.8076925277709961</c:v>
                </c:pt>
                <c:pt idx="13">
                  <c:v>4.7619047164916992</c:v>
                </c:pt>
                <c:pt idx="14">
                  <c:v>7.1428570747375488</c:v>
                </c:pt>
                <c:pt idx="15">
                  <c:v>6.6666665077209473</c:v>
                </c:pt>
                <c:pt idx="16">
                  <c:v>4.2857141494750977</c:v>
                </c:pt>
                <c:pt idx="17">
                  <c:v>3.8095238208770752</c:v>
                </c:pt>
                <c:pt idx="18">
                  <c:v>3.3333332538604736</c:v>
                </c:pt>
                <c:pt idx="19">
                  <c:v>1.9047619104385376</c:v>
                </c:pt>
                <c:pt idx="20">
                  <c:v>1.8867924213409424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0F1-264C-A8B2-3EEC85BB0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9094287"/>
        <c:axId val="749095999"/>
      </c:lineChart>
      <c:catAx>
        <c:axId val="7490942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749095999"/>
        <c:crosses val="autoZero"/>
        <c:auto val="1"/>
        <c:lblAlgn val="ctr"/>
        <c:lblOffset val="100"/>
        <c:noMultiLvlLbl val="0"/>
      </c:catAx>
      <c:valAx>
        <c:axId val="74909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749094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argentina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'EJE GRAFICAS'!$B$8</c:f>
              <c:strCache>
                <c:ptCount val="1"/>
                <c:pt idx="0">
                  <c:v>gcs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'EJE GRAFICAS'!$C$7:$M$7</c:f>
              <c:strCache>
                <c:ptCount val="11"/>
                <c:pt idx="0">
                  <c:v>GCS22CC</c:v>
                </c:pt>
                <c:pt idx="1">
                  <c:v>GCS21CC</c:v>
                </c:pt>
                <c:pt idx="2">
                  <c:v>GCS20CC</c:v>
                </c:pt>
                <c:pt idx="3">
                  <c:v>GCS19CC</c:v>
                </c:pt>
                <c:pt idx="4">
                  <c:v>GCS18CC</c:v>
                </c:pt>
                <c:pt idx="5">
                  <c:v>GCS17CC</c:v>
                </c:pt>
                <c:pt idx="6">
                  <c:v>GCS16CC</c:v>
                </c:pt>
                <c:pt idx="7">
                  <c:v>GCS15CC</c:v>
                </c:pt>
                <c:pt idx="8">
                  <c:v>GCS14CC</c:v>
                </c:pt>
                <c:pt idx="9">
                  <c:v>GCS13CC</c:v>
                </c:pt>
                <c:pt idx="10">
                  <c:v>GCS12CC</c:v>
                </c:pt>
              </c:strCache>
            </c:strRef>
          </c:cat>
          <c:val>
            <c:numRef>
              <c:f>'EJE GRAFICAS'!$C$8:$M$8</c:f>
              <c:numCache>
                <c:formatCode>0.00</c:formatCode>
                <c:ptCount val="11"/>
                <c:pt idx="0">
                  <c:v>0.33342334820213809</c:v>
                </c:pt>
                <c:pt idx="1">
                  <c:v>0.32835256488095244</c:v>
                </c:pt>
                <c:pt idx="2">
                  <c:v>0.39203169047619052</c:v>
                </c:pt>
                <c:pt idx="3">
                  <c:v>0.40417294842857149</c:v>
                </c:pt>
                <c:pt idx="4">
                  <c:v>0.36399773188095236</c:v>
                </c:pt>
                <c:pt idx="5">
                  <c:v>0.34415666190476191</c:v>
                </c:pt>
                <c:pt idx="6">
                  <c:v>0.32030293295354817</c:v>
                </c:pt>
                <c:pt idx="7">
                  <c:v>0.28196583523321134</c:v>
                </c:pt>
                <c:pt idx="8">
                  <c:v>0.23689552831257502</c:v>
                </c:pt>
                <c:pt idx="9">
                  <c:v>0.2604947619047619</c:v>
                </c:pt>
                <c:pt idx="10">
                  <c:v>0.24488530714285717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61-C442-B308-C8A89417ACD4}"/>
            </c:ext>
          </c:extLst>
        </c:ser>
        <c:ser>
          <c:idx val="1"/>
          <c:order val="1"/>
          <c:tx>
            <c:strRef>
              <c:f>'EJE GRAFICAS'!$B$9</c:f>
              <c:strCache>
                <c:ptCount val="1"/>
                <c:pt idx="0">
                  <c:v>eiu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'EJE GRAFICAS'!$C$7:$M$7</c:f>
              <c:strCache>
                <c:ptCount val="11"/>
                <c:pt idx="0">
                  <c:v>GCS22CC</c:v>
                </c:pt>
                <c:pt idx="1">
                  <c:v>GCS21CC</c:v>
                </c:pt>
                <c:pt idx="2">
                  <c:v>GCS20CC</c:v>
                </c:pt>
                <c:pt idx="3">
                  <c:v>GCS19CC</c:v>
                </c:pt>
                <c:pt idx="4">
                  <c:v>GCS18CC</c:v>
                </c:pt>
                <c:pt idx="5">
                  <c:v>GCS17CC</c:v>
                </c:pt>
                <c:pt idx="6">
                  <c:v>GCS16CC</c:v>
                </c:pt>
                <c:pt idx="7">
                  <c:v>GCS15CC</c:v>
                </c:pt>
                <c:pt idx="8">
                  <c:v>GCS14CC</c:v>
                </c:pt>
                <c:pt idx="9">
                  <c:v>GCS13CC</c:v>
                </c:pt>
                <c:pt idx="10">
                  <c:v>GCS12CC</c:v>
                </c:pt>
              </c:strCache>
            </c:strRef>
          </c:cat>
          <c:val>
            <c:numRef>
              <c:f>'EJE GRAFICAS'!$C$9:$M$9</c:f>
              <c:numCache>
                <c:formatCode>0.000</c:formatCode>
                <c:ptCount val="11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61-C442-B308-C8A89417ACD4}"/>
            </c:ext>
          </c:extLst>
        </c:ser>
        <c:ser>
          <c:idx val="2"/>
          <c:order val="2"/>
          <c:tx>
            <c:strRef>
              <c:f>'EJE GRAFICAS'!$B$10</c:f>
              <c:strCache>
                <c:ptCount val="1"/>
                <c:pt idx="0">
                  <c:v>wjp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'EJE GRAFICAS'!$C$7:$M$7</c:f>
              <c:strCache>
                <c:ptCount val="11"/>
                <c:pt idx="0">
                  <c:v>GCS22CC</c:v>
                </c:pt>
                <c:pt idx="1">
                  <c:v>GCS21CC</c:v>
                </c:pt>
                <c:pt idx="2">
                  <c:v>GCS20CC</c:v>
                </c:pt>
                <c:pt idx="3">
                  <c:v>GCS19CC</c:v>
                </c:pt>
                <c:pt idx="4">
                  <c:v>GCS18CC</c:v>
                </c:pt>
                <c:pt idx="5">
                  <c:v>GCS17CC</c:v>
                </c:pt>
                <c:pt idx="6">
                  <c:v>GCS16CC</c:v>
                </c:pt>
                <c:pt idx="7">
                  <c:v>GCS15CC</c:v>
                </c:pt>
                <c:pt idx="8">
                  <c:v>GCS14CC</c:v>
                </c:pt>
                <c:pt idx="9">
                  <c:v>GCS13CC</c:v>
                </c:pt>
                <c:pt idx="10">
                  <c:v>GCS12CC</c:v>
                </c:pt>
              </c:strCache>
            </c:strRef>
          </c:cat>
          <c:val>
            <c:numRef>
              <c:f>'EJE GRAFICAS'!$C$10:$M$10</c:f>
              <c:numCache>
                <c:formatCode>0.00</c:formatCode>
                <c:ptCount val="11"/>
                <c:pt idx="0">
                  <c:v>0.45949794482318829</c:v>
                </c:pt>
                <c:pt idx="1">
                  <c:v>0.48313224841821434</c:v>
                </c:pt>
                <c:pt idx="2">
                  <c:v>0.51706282335453058</c:v>
                </c:pt>
                <c:pt idx="3">
                  <c:v>0.51706282335453058</c:v>
                </c:pt>
                <c:pt idx="4">
                  <c:v>0.52166659352399269</c:v>
                </c:pt>
                <c:pt idx="5">
                  <c:v>0.52068475125640501</c:v>
                </c:pt>
                <c:pt idx="6">
                  <c:v>0.50537304972334884</c:v>
                </c:pt>
                <c:pt idx="7">
                  <c:v>0.50537304972334884</c:v>
                </c:pt>
                <c:pt idx="8">
                  <c:v>0.47875708431202757</c:v>
                </c:pt>
                <c:pt idx="9">
                  <c:v>0.49228338645105035</c:v>
                </c:pt>
                <c:pt idx="10">
                  <c:v>0.47472964193846551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61-C442-B308-C8A89417ACD4}"/>
            </c:ext>
          </c:extLst>
        </c:ser>
        <c:ser>
          <c:idx val="3"/>
          <c:order val="3"/>
          <c:tx>
            <c:strRef>
              <c:f>'EJE GRAFICAS'!$B$11</c:f>
              <c:strCache>
                <c:ptCount val="1"/>
                <c:pt idx="0">
                  <c:v>general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'EJE GRAFICAS'!$C$7:$M$7</c:f>
              <c:strCache>
                <c:ptCount val="11"/>
                <c:pt idx="0">
                  <c:v>GCS22CC</c:v>
                </c:pt>
                <c:pt idx="1">
                  <c:v>GCS21CC</c:v>
                </c:pt>
                <c:pt idx="2">
                  <c:v>GCS20CC</c:v>
                </c:pt>
                <c:pt idx="3">
                  <c:v>GCS19CC</c:v>
                </c:pt>
                <c:pt idx="4">
                  <c:v>GCS18CC</c:v>
                </c:pt>
                <c:pt idx="5">
                  <c:v>GCS17CC</c:v>
                </c:pt>
                <c:pt idx="6">
                  <c:v>GCS16CC</c:v>
                </c:pt>
                <c:pt idx="7">
                  <c:v>GCS15CC</c:v>
                </c:pt>
                <c:pt idx="8">
                  <c:v>GCS14CC</c:v>
                </c:pt>
                <c:pt idx="9">
                  <c:v>GCS13CC</c:v>
                </c:pt>
                <c:pt idx="10">
                  <c:v>GCS12CC</c:v>
                </c:pt>
              </c:strCache>
            </c:strRef>
          </c:cat>
          <c:val>
            <c:numRef>
              <c:f>'EJE GRAFICAS'!$C$11:$M$11</c:f>
              <c:numCache>
                <c:formatCode>0.00</c:formatCode>
                <c:ptCount val="11"/>
                <c:pt idx="0">
                  <c:v>0.40284358978271501</c:v>
                </c:pt>
                <c:pt idx="1">
                  <c:v>0.40284358978271501</c:v>
                </c:pt>
                <c:pt idx="2">
                  <c:v>0.40284358978271501</c:v>
                </c:pt>
                <c:pt idx="3">
                  <c:v>0.40284358978271501</c:v>
                </c:pt>
                <c:pt idx="4">
                  <c:v>0.40284358978271501</c:v>
                </c:pt>
                <c:pt idx="5">
                  <c:v>0.40284358978271501</c:v>
                </c:pt>
                <c:pt idx="6">
                  <c:v>0.40284358978271501</c:v>
                </c:pt>
                <c:pt idx="7">
                  <c:v>0.40284358978271501</c:v>
                </c:pt>
                <c:pt idx="8">
                  <c:v>0.40284358978271501</c:v>
                </c:pt>
                <c:pt idx="9">
                  <c:v>0.40284358978271501</c:v>
                </c:pt>
                <c:pt idx="10">
                  <c:v>0.40284358978271501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61-C442-B308-C8A89417AC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310400"/>
        <c:axId val="24312672"/>
      </c:lineChart>
      <c:catAx>
        <c:axId val="24310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312672"/>
        <c:crosses val="autoZero"/>
        <c:auto val="1"/>
        <c:lblAlgn val="ctr"/>
        <c:lblOffset val="100"/>
        <c:noMultiLvlLbl val="0"/>
      </c:catAx>
      <c:valAx>
        <c:axId val="2431267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310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bolivia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'EJE GRAFICAS'!$B$16</c:f>
              <c:strCache>
                <c:ptCount val="1"/>
                <c:pt idx="0">
                  <c:v>gcs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'EJE GRAFICAS'!$C$15:$M$15</c:f>
              <c:strCache>
                <c:ptCount val="11"/>
                <c:pt idx="0">
                  <c:v>GCS22CC</c:v>
                </c:pt>
                <c:pt idx="1">
                  <c:v>GCS21CC</c:v>
                </c:pt>
                <c:pt idx="2">
                  <c:v>GCS20CC</c:v>
                </c:pt>
                <c:pt idx="3">
                  <c:v>GCS19CC</c:v>
                </c:pt>
                <c:pt idx="4">
                  <c:v>GCS18CC</c:v>
                </c:pt>
                <c:pt idx="5">
                  <c:v>GCS17CC</c:v>
                </c:pt>
                <c:pt idx="6">
                  <c:v>GCS16CC</c:v>
                </c:pt>
                <c:pt idx="7">
                  <c:v>GCS15CC</c:v>
                </c:pt>
                <c:pt idx="8">
                  <c:v>GCS14CC</c:v>
                </c:pt>
                <c:pt idx="9">
                  <c:v>GCS13CC</c:v>
                </c:pt>
                <c:pt idx="10">
                  <c:v>GCS12CC</c:v>
                </c:pt>
              </c:strCache>
            </c:strRef>
          </c:cat>
          <c:val>
            <c:numRef>
              <c:f>'EJE GRAFICAS'!$C$16:$M$16</c:f>
              <c:numCache>
                <c:formatCode>0.00</c:formatCode>
                <c:ptCount val="11"/>
                <c:pt idx="0">
                  <c:v>0.2627821491596638</c:v>
                </c:pt>
                <c:pt idx="1">
                  <c:v>0.27680006480952379</c:v>
                </c:pt>
                <c:pt idx="2">
                  <c:v>0.28377816666666666</c:v>
                </c:pt>
                <c:pt idx="3">
                  <c:v>0.22564147197619047</c:v>
                </c:pt>
                <c:pt idx="4">
                  <c:v>#N/A</c:v>
                </c:pt>
                <c:pt idx="5">
                  <c:v>#N/A</c:v>
                </c:pt>
                <c:pt idx="6">
                  <c:v>0.21378588020574082</c:v>
                </c:pt>
                <c:pt idx="7">
                  <c:v>0.25496758205973968</c:v>
                </c:pt>
                <c:pt idx="8">
                  <c:v>0.31406624465800015</c:v>
                </c:pt>
                <c:pt idx="9">
                  <c:v>0.29439000000000004</c:v>
                </c:pt>
                <c:pt idx="10">
                  <c:v>0.26188135952380948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A5-634F-A6CE-CB471A4C7F87}"/>
            </c:ext>
          </c:extLst>
        </c:ser>
        <c:ser>
          <c:idx val="1"/>
          <c:order val="1"/>
          <c:tx>
            <c:strRef>
              <c:f>'EJE GRAFICAS'!$B$17</c:f>
              <c:strCache>
                <c:ptCount val="1"/>
                <c:pt idx="0">
                  <c:v>eiu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'EJE GRAFICAS'!$C$15:$M$15</c:f>
              <c:strCache>
                <c:ptCount val="11"/>
                <c:pt idx="0">
                  <c:v>GCS22CC</c:v>
                </c:pt>
                <c:pt idx="1">
                  <c:v>GCS21CC</c:v>
                </c:pt>
                <c:pt idx="2">
                  <c:v>GCS20CC</c:v>
                </c:pt>
                <c:pt idx="3">
                  <c:v>GCS19CC</c:v>
                </c:pt>
                <c:pt idx="4">
                  <c:v>GCS18CC</c:v>
                </c:pt>
                <c:pt idx="5">
                  <c:v>GCS17CC</c:v>
                </c:pt>
                <c:pt idx="6">
                  <c:v>GCS16CC</c:v>
                </c:pt>
                <c:pt idx="7">
                  <c:v>GCS15CC</c:v>
                </c:pt>
                <c:pt idx="8">
                  <c:v>GCS14CC</c:v>
                </c:pt>
                <c:pt idx="9">
                  <c:v>GCS13CC</c:v>
                </c:pt>
                <c:pt idx="10">
                  <c:v>GCS12CC</c:v>
                </c:pt>
              </c:strCache>
            </c:strRef>
          </c:cat>
          <c:val>
            <c:numRef>
              <c:f>'EJE GRAFICAS'!$C$17:$M$17</c:f>
              <c:numCache>
                <c:formatCode>0.000</c:formatCode>
                <c:ptCount val="11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A5-634F-A6CE-CB471A4C7F87}"/>
            </c:ext>
          </c:extLst>
        </c:ser>
        <c:ser>
          <c:idx val="2"/>
          <c:order val="2"/>
          <c:tx>
            <c:strRef>
              <c:f>'EJE GRAFICAS'!$B$18</c:f>
              <c:strCache>
                <c:ptCount val="1"/>
                <c:pt idx="0">
                  <c:v>wjp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'EJE GRAFICAS'!$C$15:$M$15</c:f>
              <c:strCache>
                <c:ptCount val="11"/>
                <c:pt idx="0">
                  <c:v>GCS22CC</c:v>
                </c:pt>
                <c:pt idx="1">
                  <c:v>GCS21CC</c:v>
                </c:pt>
                <c:pt idx="2">
                  <c:v>GCS20CC</c:v>
                </c:pt>
                <c:pt idx="3">
                  <c:v>GCS19CC</c:v>
                </c:pt>
                <c:pt idx="4">
                  <c:v>GCS18CC</c:v>
                </c:pt>
                <c:pt idx="5">
                  <c:v>GCS17CC</c:v>
                </c:pt>
                <c:pt idx="6">
                  <c:v>GCS16CC</c:v>
                </c:pt>
                <c:pt idx="7">
                  <c:v>GCS15CC</c:v>
                </c:pt>
                <c:pt idx="8">
                  <c:v>GCS14CC</c:v>
                </c:pt>
                <c:pt idx="9">
                  <c:v>GCS13CC</c:v>
                </c:pt>
                <c:pt idx="10">
                  <c:v>GCS12CC</c:v>
                </c:pt>
              </c:strCache>
            </c:strRef>
          </c:cat>
          <c:val>
            <c:numRef>
              <c:f>'EJE GRAFICAS'!$C$18:$M$18</c:f>
              <c:numCache>
                <c:formatCode>0.00</c:formatCode>
                <c:ptCount val="11"/>
                <c:pt idx="0">
                  <c:v>0.24658332496621979</c:v>
                </c:pt>
                <c:pt idx="1">
                  <c:v>0.27278409649008939</c:v>
                </c:pt>
                <c:pt idx="2">
                  <c:v>0.26541993027355942</c:v>
                </c:pt>
                <c:pt idx="3">
                  <c:v>0.26541993027355942</c:v>
                </c:pt>
                <c:pt idx="4">
                  <c:v>0.26193356835387255</c:v>
                </c:pt>
                <c:pt idx="5">
                  <c:v>0.36491251379148709</c:v>
                </c:pt>
                <c:pt idx="6">
                  <c:v>0.28997585279498472</c:v>
                </c:pt>
                <c:pt idx="7">
                  <c:v>0.28997585279498472</c:v>
                </c:pt>
                <c:pt idx="8">
                  <c:v>0.33553128476563976</c:v>
                </c:pt>
                <c:pt idx="9">
                  <c:v>0.3210050003472889</c:v>
                </c:pt>
                <c:pt idx="10">
                  <c:v>0.24491313563896622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A5-634F-A6CE-CB471A4C7F87}"/>
            </c:ext>
          </c:extLst>
        </c:ser>
        <c:ser>
          <c:idx val="3"/>
          <c:order val="3"/>
          <c:tx>
            <c:strRef>
              <c:f>'EJE GRAFICAS'!$B$19</c:f>
              <c:strCache>
                <c:ptCount val="1"/>
                <c:pt idx="0">
                  <c:v>general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'EJE GRAFICAS'!$C$15:$M$15</c:f>
              <c:strCache>
                <c:ptCount val="11"/>
                <c:pt idx="0">
                  <c:v>GCS22CC</c:v>
                </c:pt>
                <c:pt idx="1">
                  <c:v>GCS21CC</c:v>
                </c:pt>
                <c:pt idx="2">
                  <c:v>GCS20CC</c:v>
                </c:pt>
                <c:pt idx="3">
                  <c:v>GCS19CC</c:v>
                </c:pt>
                <c:pt idx="4">
                  <c:v>GCS18CC</c:v>
                </c:pt>
                <c:pt idx="5">
                  <c:v>GCS17CC</c:v>
                </c:pt>
                <c:pt idx="6">
                  <c:v>GCS16CC</c:v>
                </c:pt>
                <c:pt idx="7">
                  <c:v>GCS15CC</c:v>
                </c:pt>
                <c:pt idx="8">
                  <c:v>GCS14CC</c:v>
                </c:pt>
                <c:pt idx="9">
                  <c:v>GCS13CC</c:v>
                </c:pt>
                <c:pt idx="10">
                  <c:v>GCS12CC</c:v>
                </c:pt>
              </c:strCache>
            </c:strRef>
          </c:cat>
          <c:val>
            <c:numRef>
              <c:f>'EJE GRAFICAS'!$C$19:$M$19</c:f>
              <c:numCache>
                <c:formatCode>0.00</c:formatCode>
                <c:ptCount val="11"/>
                <c:pt idx="0">
                  <c:v>0.27488151550293</c:v>
                </c:pt>
                <c:pt idx="1">
                  <c:v>0.27488151550293</c:v>
                </c:pt>
                <c:pt idx="2">
                  <c:v>0.27488151550293</c:v>
                </c:pt>
                <c:pt idx="3">
                  <c:v>0.27488151550293</c:v>
                </c:pt>
                <c:pt idx="4">
                  <c:v>0.27488151550293</c:v>
                </c:pt>
                <c:pt idx="5">
                  <c:v>0.27488151550293</c:v>
                </c:pt>
                <c:pt idx="6">
                  <c:v>0.27488151550293</c:v>
                </c:pt>
                <c:pt idx="7">
                  <c:v>0.27488151550293</c:v>
                </c:pt>
                <c:pt idx="8">
                  <c:v>0.27488151550293</c:v>
                </c:pt>
                <c:pt idx="9">
                  <c:v>0.27488151550293</c:v>
                </c:pt>
                <c:pt idx="10">
                  <c:v>0.27488151550293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A5-634F-A6CE-CB471A4C7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345744"/>
        <c:axId val="24359600"/>
      </c:lineChart>
      <c:catAx>
        <c:axId val="2434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359600"/>
        <c:crosses val="autoZero"/>
        <c:auto val="1"/>
        <c:lblAlgn val="ctr"/>
        <c:lblOffset val="100"/>
        <c:noMultiLvlLbl val="0"/>
      </c:catAx>
      <c:valAx>
        <c:axId val="243596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345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uruguay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'EJE GRAFICAS'!$B$42</c:f>
              <c:strCache>
                <c:ptCount val="1"/>
                <c:pt idx="0">
                  <c:v>gcs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'EJE GRAFICAS'!$C$41:$M$41</c:f>
              <c:strCache>
                <c:ptCount val="11"/>
                <c:pt idx="0">
                  <c:v>GCS22CC</c:v>
                </c:pt>
                <c:pt idx="1">
                  <c:v>GCS21CC</c:v>
                </c:pt>
                <c:pt idx="2">
                  <c:v>GCS20CC</c:v>
                </c:pt>
                <c:pt idx="3">
                  <c:v>GCS19CC</c:v>
                </c:pt>
                <c:pt idx="4">
                  <c:v>GCS18CC</c:v>
                </c:pt>
                <c:pt idx="5">
                  <c:v>GCS17CC</c:v>
                </c:pt>
                <c:pt idx="6">
                  <c:v>GCS16CC</c:v>
                </c:pt>
                <c:pt idx="7">
                  <c:v>GCS15CC</c:v>
                </c:pt>
                <c:pt idx="8">
                  <c:v>GCS14CC</c:v>
                </c:pt>
                <c:pt idx="9">
                  <c:v>GCS13CC</c:v>
                </c:pt>
                <c:pt idx="10">
                  <c:v>GCS12CC</c:v>
                </c:pt>
              </c:strCache>
            </c:strRef>
          </c:cat>
          <c:val>
            <c:numRef>
              <c:f>'EJE GRAFICAS'!$C$42:$M$42</c:f>
              <c:numCache>
                <c:formatCode>0.00</c:formatCode>
                <c:ptCount val="11"/>
                <c:pt idx="0">
                  <c:v>0.7687768908163265</c:v>
                </c:pt>
                <c:pt idx="1">
                  <c:v>0.78844819754761897</c:v>
                </c:pt>
                <c:pt idx="2">
                  <c:v>0.74775504761904765</c:v>
                </c:pt>
                <c:pt idx="3">
                  <c:v>0.69528411685714275</c:v>
                </c:pt>
                <c:pt idx="4">
                  <c:v>0.6676075345000001</c:v>
                </c:pt>
                <c:pt idx="5">
                  <c:v>0.67239035952380966</c:v>
                </c:pt>
                <c:pt idx="6">
                  <c:v>0.71541566071485363</c:v>
                </c:pt>
                <c:pt idx="7">
                  <c:v>0.71434728362889877</c:v>
                </c:pt>
                <c:pt idx="8">
                  <c:v>0.72981498172617021</c:v>
                </c:pt>
                <c:pt idx="9">
                  <c:v>0.72693738095238103</c:v>
                </c:pt>
                <c:pt idx="10">
                  <c:v>0.70363645238095229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23-AC4C-9459-FDEFC778CBC0}"/>
            </c:ext>
          </c:extLst>
        </c:ser>
        <c:ser>
          <c:idx val="1"/>
          <c:order val="1"/>
          <c:tx>
            <c:strRef>
              <c:f>'EJE GRAFICAS'!$B$43</c:f>
              <c:strCache>
                <c:ptCount val="1"/>
                <c:pt idx="0">
                  <c:v>eiu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'EJE GRAFICAS'!$C$41:$M$41</c:f>
              <c:strCache>
                <c:ptCount val="11"/>
                <c:pt idx="0">
                  <c:v>GCS22CC</c:v>
                </c:pt>
                <c:pt idx="1">
                  <c:v>GCS21CC</c:v>
                </c:pt>
                <c:pt idx="2">
                  <c:v>GCS20CC</c:v>
                </c:pt>
                <c:pt idx="3">
                  <c:v>GCS19CC</c:v>
                </c:pt>
                <c:pt idx="4">
                  <c:v>GCS18CC</c:v>
                </c:pt>
                <c:pt idx="5">
                  <c:v>GCS17CC</c:v>
                </c:pt>
                <c:pt idx="6">
                  <c:v>GCS16CC</c:v>
                </c:pt>
                <c:pt idx="7">
                  <c:v>GCS15CC</c:v>
                </c:pt>
                <c:pt idx="8">
                  <c:v>GCS14CC</c:v>
                </c:pt>
                <c:pt idx="9">
                  <c:v>GCS13CC</c:v>
                </c:pt>
                <c:pt idx="10">
                  <c:v>GCS12CC</c:v>
                </c:pt>
              </c:strCache>
            </c:strRef>
          </c:cat>
          <c:val>
            <c:numRef>
              <c:f>'EJE GRAFICAS'!$C$43:$M$43</c:f>
              <c:numCache>
                <c:formatCode>0.000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0.75</c:v>
                </c:pt>
                <c:pt idx="3">
                  <c:v>0.75</c:v>
                </c:pt>
                <c:pt idx="4">
                  <c:v>0.75</c:v>
                </c:pt>
                <c:pt idx="5">
                  <c:v>0.75</c:v>
                </c:pt>
                <c:pt idx="6">
                  <c:v>0.75</c:v>
                </c:pt>
                <c:pt idx="7">
                  <c:v>0.75</c:v>
                </c:pt>
                <c:pt idx="8">
                  <c:v>0.75</c:v>
                </c:pt>
                <c:pt idx="9">
                  <c:v>0.75</c:v>
                </c:pt>
                <c:pt idx="10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23-AC4C-9459-FDEFC778CBC0}"/>
            </c:ext>
          </c:extLst>
        </c:ser>
        <c:ser>
          <c:idx val="2"/>
          <c:order val="2"/>
          <c:tx>
            <c:strRef>
              <c:f>'EJE GRAFICAS'!$B$44</c:f>
              <c:strCache>
                <c:ptCount val="1"/>
                <c:pt idx="0">
                  <c:v>wjp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'EJE GRAFICAS'!$C$41:$M$41</c:f>
              <c:strCache>
                <c:ptCount val="11"/>
                <c:pt idx="0">
                  <c:v>GCS22CC</c:v>
                </c:pt>
                <c:pt idx="1">
                  <c:v>GCS21CC</c:v>
                </c:pt>
                <c:pt idx="2">
                  <c:v>GCS20CC</c:v>
                </c:pt>
                <c:pt idx="3">
                  <c:v>GCS19CC</c:v>
                </c:pt>
                <c:pt idx="4">
                  <c:v>GCS18CC</c:v>
                </c:pt>
                <c:pt idx="5">
                  <c:v>GCS17CC</c:v>
                </c:pt>
                <c:pt idx="6">
                  <c:v>GCS16CC</c:v>
                </c:pt>
                <c:pt idx="7">
                  <c:v>GCS15CC</c:v>
                </c:pt>
                <c:pt idx="8">
                  <c:v>GCS14CC</c:v>
                </c:pt>
                <c:pt idx="9">
                  <c:v>GCS13CC</c:v>
                </c:pt>
                <c:pt idx="10">
                  <c:v>GCS12CC</c:v>
                </c:pt>
              </c:strCache>
            </c:strRef>
          </c:cat>
          <c:val>
            <c:numRef>
              <c:f>'EJE GRAFICAS'!$C$44:$M$44</c:f>
              <c:numCache>
                <c:formatCode>0.00</c:formatCode>
                <c:ptCount val="11"/>
                <c:pt idx="0">
                  <c:v>0.73676390369047806</c:v>
                </c:pt>
                <c:pt idx="1">
                  <c:v>0.72924970586359983</c:v>
                </c:pt>
                <c:pt idx="2">
                  <c:v>0.72944979653839026</c:v>
                </c:pt>
                <c:pt idx="3">
                  <c:v>0.72944979653839026</c:v>
                </c:pt>
                <c:pt idx="4">
                  <c:v>0.74012694633700138</c:v>
                </c:pt>
                <c:pt idx="5">
                  <c:v>0.65768224789591623</c:v>
                </c:pt>
                <c:pt idx="6">
                  <c:v>0.76532964423775129</c:v>
                </c:pt>
                <c:pt idx="7">
                  <c:v>0.76532964423775129</c:v>
                </c:pt>
                <c:pt idx="8">
                  <c:v>0.781099570445563</c:v>
                </c:pt>
                <c:pt idx="9">
                  <c:v>0.7835450923617574</c:v>
                </c:pt>
                <c:pt idx="10">
                  <c:v>0.77653308683528177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23-AC4C-9459-FDEFC778CBC0}"/>
            </c:ext>
          </c:extLst>
        </c:ser>
        <c:ser>
          <c:idx val="3"/>
          <c:order val="3"/>
          <c:tx>
            <c:strRef>
              <c:f>'EJE GRAFICAS'!$B$45</c:f>
              <c:strCache>
                <c:ptCount val="1"/>
                <c:pt idx="0">
                  <c:v>general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'EJE GRAFICAS'!$C$41:$M$41</c:f>
              <c:strCache>
                <c:ptCount val="11"/>
                <c:pt idx="0">
                  <c:v>GCS22CC</c:v>
                </c:pt>
                <c:pt idx="1">
                  <c:v>GCS21CC</c:v>
                </c:pt>
                <c:pt idx="2">
                  <c:v>GCS20CC</c:v>
                </c:pt>
                <c:pt idx="3">
                  <c:v>GCS19CC</c:v>
                </c:pt>
                <c:pt idx="4">
                  <c:v>GCS18CC</c:v>
                </c:pt>
                <c:pt idx="5">
                  <c:v>GCS17CC</c:v>
                </c:pt>
                <c:pt idx="6">
                  <c:v>GCS16CC</c:v>
                </c:pt>
                <c:pt idx="7">
                  <c:v>GCS15CC</c:v>
                </c:pt>
                <c:pt idx="8">
                  <c:v>GCS14CC</c:v>
                </c:pt>
                <c:pt idx="9">
                  <c:v>GCS13CC</c:v>
                </c:pt>
                <c:pt idx="10">
                  <c:v>GCS12CC</c:v>
                </c:pt>
              </c:strCache>
            </c:strRef>
          </c:cat>
          <c:val>
            <c:numRef>
              <c:f>'EJE GRAFICAS'!$C$45:$M$45</c:f>
              <c:numCache>
                <c:formatCode>0.00</c:formatCode>
                <c:ptCount val="11"/>
                <c:pt idx="0">
                  <c:v>0.8862559509277339</c:v>
                </c:pt>
                <c:pt idx="1">
                  <c:v>0.8862559509277339</c:v>
                </c:pt>
                <c:pt idx="2">
                  <c:v>0.8862559509277339</c:v>
                </c:pt>
                <c:pt idx="3">
                  <c:v>0.8862559509277339</c:v>
                </c:pt>
                <c:pt idx="4">
                  <c:v>0.8862559509277339</c:v>
                </c:pt>
                <c:pt idx="5">
                  <c:v>0.8862559509277339</c:v>
                </c:pt>
                <c:pt idx="6">
                  <c:v>0.8862559509277339</c:v>
                </c:pt>
                <c:pt idx="7">
                  <c:v>0.8862559509277339</c:v>
                </c:pt>
                <c:pt idx="8">
                  <c:v>0.8862559509277339</c:v>
                </c:pt>
                <c:pt idx="9">
                  <c:v>0.8862559509277339</c:v>
                </c:pt>
                <c:pt idx="10">
                  <c:v>0.8862559509277339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323-AC4C-9459-FDEFC778C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7892272"/>
        <c:axId val="321720912"/>
      </c:lineChart>
      <c:catAx>
        <c:axId val="38789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21720912"/>
        <c:crosses val="autoZero"/>
        <c:auto val="1"/>
        <c:lblAlgn val="ctr"/>
        <c:lblOffset val="100"/>
        <c:noMultiLvlLbl val="0"/>
      </c:catAx>
      <c:valAx>
        <c:axId val="32172091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8789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'EJE GRA'!$A$2</c:f>
              <c:strCache>
                <c:ptCount val="1"/>
                <c:pt idx="0">
                  <c:v>argentina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'EJE GRA'!$B$1:$G$1</c:f>
              <c:strCache>
                <c:ptCount val="6"/>
                <c:pt idx="0">
                  <c:v>BTI22CC</c:v>
                </c:pt>
                <c:pt idx="1">
                  <c:v>BTI2021CC</c:v>
                </c:pt>
                <c:pt idx="2">
                  <c:v>BTI1819CC</c:v>
                </c:pt>
                <c:pt idx="3">
                  <c:v>BTI1617CC</c:v>
                </c:pt>
                <c:pt idx="4">
                  <c:v>BTI1415CC</c:v>
                </c:pt>
                <c:pt idx="5">
                  <c:v>BTI1213CC</c:v>
                </c:pt>
              </c:strCache>
            </c:strRef>
          </c:cat>
          <c:val>
            <c:numRef>
              <c:f>'EJE GRA'!$B$2:$G$2</c:f>
              <c:numCache>
                <c:formatCode>0.00</c:formatCode>
                <c:ptCount val="6"/>
                <c:pt idx="0">
                  <c:v>0.5</c:v>
                </c:pt>
                <c:pt idx="1">
                  <c:v>0.5</c:v>
                </c:pt>
                <c:pt idx="2">
                  <c:v>0.7</c:v>
                </c:pt>
                <c:pt idx="3">
                  <c:v>0.6</c:v>
                </c:pt>
                <c:pt idx="4">
                  <c:v>0.4</c:v>
                </c:pt>
                <c:pt idx="5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43-7F49-A11D-71C3E207C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3611616"/>
        <c:axId val="24261296"/>
      </c:lineChart>
      <c:catAx>
        <c:axId val="135361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261296"/>
        <c:crosses val="autoZero"/>
        <c:auto val="1"/>
        <c:lblAlgn val="ctr"/>
        <c:lblOffset val="100"/>
        <c:noMultiLvlLbl val="0"/>
      </c:catAx>
      <c:valAx>
        <c:axId val="2426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53611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'EJE GRA'!$A$5</c:f>
              <c:strCache>
                <c:ptCount val="1"/>
                <c:pt idx="0">
                  <c:v>bolivia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'EJE GRA'!$B$4:$G$4</c:f>
              <c:strCache>
                <c:ptCount val="6"/>
                <c:pt idx="0">
                  <c:v>BTI22CC</c:v>
                </c:pt>
                <c:pt idx="1">
                  <c:v>BTI2021CC</c:v>
                </c:pt>
                <c:pt idx="2">
                  <c:v>BTI1819CC</c:v>
                </c:pt>
                <c:pt idx="3">
                  <c:v>BTI1617CC</c:v>
                </c:pt>
                <c:pt idx="4">
                  <c:v>BTI1415CC</c:v>
                </c:pt>
                <c:pt idx="5">
                  <c:v>BTI1213CC</c:v>
                </c:pt>
              </c:strCache>
            </c:strRef>
          </c:cat>
          <c:val>
            <c:numRef>
              <c:f>'EJE GRA'!$B$5:$G$5</c:f>
              <c:numCache>
                <c:formatCode>0.00</c:formatCode>
                <c:ptCount val="6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17-3D46-9A09-BA9280777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8222144"/>
        <c:axId val="298224416"/>
      </c:lineChart>
      <c:catAx>
        <c:axId val="29822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98224416"/>
        <c:crosses val="autoZero"/>
        <c:auto val="1"/>
        <c:lblAlgn val="ctr"/>
        <c:lblOffset val="100"/>
        <c:noMultiLvlLbl val="0"/>
      </c:catAx>
      <c:valAx>
        <c:axId val="29822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98222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'EJE GRA'!$A$8</c:f>
              <c:strCache>
                <c:ptCount val="1"/>
                <c:pt idx="0">
                  <c:v>brasil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'EJE GRA'!$B$7:$G$7</c:f>
              <c:strCache>
                <c:ptCount val="6"/>
                <c:pt idx="0">
                  <c:v>BTI22CC</c:v>
                </c:pt>
                <c:pt idx="1">
                  <c:v>BTI2021CC</c:v>
                </c:pt>
                <c:pt idx="2">
                  <c:v>BTI1819CC</c:v>
                </c:pt>
                <c:pt idx="3">
                  <c:v>BTI1617CC</c:v>
                </c:pt>
                <c:pt idx="4">
                  <c:v>BTI1415CC</c:v>
                </c:pt>
                <c:pt idx="5">
                  <c:v>BTI1213CC</c:v>
                </c:pt>
              </c:strCache>
            </c:strRef>
          </c:cat>
          <c:val>
            <c:numRef>
              <c:f>'EJE GRA'!$B$8:$G$8</c:f>
              <c:numCache>
                <c:formatCode>0.00</c:formatCode>
                <c:ptCount val="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0.6</c:v>
                </c:pt>
                <c:pt idx="4">
                  <c:v>0.7</c:v>
                </c:pt>
                <c:pt idx="5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32-5440-862D-BBEBE4899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8244944"/>
        <c:axId val="298247216"/>
      </c:lineChart>
      <c:catAx>
        <c:axId val="29824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98247216"/>
        <c:crosses val="autoZero"/>
        <c:auto val="1"/>
        <c:lblAlgn val="ctr"/>
        <c:lblOffset val="100"/>
        <c:noMultiLvlLbl val="0"/>
      </c:catAx>
      <c:valAx>
        <c:axId val="29824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98244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'EJE GRA'!$A$11</c:f>
              <c:strCache>
                <c:ptCount val="1"/>
                <c:pt idx="0">
                  <c:v>chile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'EJE GRA'!$B$10:$G$10</c:f>
              <c:strCache>
                <c:ptCount val="6"/>
                <c:pt idx="0">
                  <c:v>BTI22CC</c:v>
                </c:pt>
                <c:pt idx="1">
                  <c:v>BTI2021CC</c:v>
                </c:pt>
                <c:pt idx="2">
                  <c:v>BTI1819CC</c:v>
                </c:pt>
                <c:pt idx="3">
                  <c:v>BTI1617CC</c:v>
                </c:pt>
                <c:pt idx="4">
                  <c:v>BTI1415CC</c:v>
                </c:pt>
                <c:pt idx="5">
                  <c:v>BTI1213CC</c:v>
                </c:pt>
              </c:strCache>
            </c:strRef>
          </c:cat>
          <c:val>
            <c:numRef>
              <c:f>'EJE GRA'!$B$11:$G$11</c:f>
              <c:numCache>
                <c:formatCode>0.00</c:formatCode>
                <c:ptCount val="6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AA-E849-8E07-003D51CF3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9149103"/>
        <c:axId val="2019150831"/>
      </c:lineChart>
      <c:catAx>
        <c:axId val="2019149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019150831"/>
        <c:crosses val="autoZero"/>
        <c:auto val="1"/>
        <c:lblAlgn val="ctr"/>
        <c:lblOffset val="100"/>
        <c:noMultiLvlLbl val="0"/>
      </c:catAx>
      <c:valAx>
        <c:axId val="201915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019149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'EJE GRA'!$A$14</c:f>
              <c:strCache>
                <c:ptCount val="1"/>
                <c:pt idx="0">
                  <c:v>colombia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'EJE GRA'!$B$13:$G$13</c:f>
              <c:strCache>
                <c:ptCount val="6"/>
                <c:pt idx="0">
                  <c:v>BTI22CC</c:v>
                </c:pt>
                <c:pt idx="1">
                  <c:v>BTI2021CC</c:v>
                </c:pt>
                <c:pt idx="2">
                  <c:v>BTI1819CC</c:v>
                </c:pt>
                <c:pt idx="3">
                  <c:v>BTI1617CC</c:v>
                </c:pt>
                <c:pt idx="4">
                  <c:v>BTI1415CC</c:v>
                </c:pt>
                <c:pt idx="5">
                  <c:v>BTI1213CC</c:v>
                </c:pt>
              </c:strCache>
            </c:strRef>
          </c:cat>
          <c:val>
            <c:numRef>
              <c:f>'EJE GRA'!$B$14:$G$14</c:f>
              <c:numCache>
                <c:formatCode>0.00</c:formatCode>
                <c:ptCount val="6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0.4</c:v>
                </c:pt>
                <c:pt idx="4">
                  <c:v>0.5</c:v>
                </c:pt>
                <c:pt idx="5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58-2648-80DA-179D91DBD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1490400"/>
        <c:axId val="386979728"/>
      </c:lineChart>
      <c:catAx>
        <c:axId val="321490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86979728"/>
        <c:crosses val="autoZero"/>
        <c:auto val="1"/>
        <c:lblAlgn val="ctr"/>
        <c:lblOffset val="100"/>
        <c:noMultiLvlLbl val="0"/>
      </c:catAx>
      <c:valAx>
        <c:axId val="38697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21490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 sz="160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Figura 1. Control de la corrupción </a:t>
            </a:r>
          </a:p>
          <a:p>
            <a:pPr>
              <a:defRPr/>
            </a:pPr>
            <a:r>
              <a:rPr lang="es-419" sz="160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2002-2022  - Banco Mundial</a:t>
            </a:r>
            <a:endParaRPr lang="es-419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 paises WB'!$B$4</c:f>
              <c:strCache>
                <c:ptCount val="1"/>
                <c:pt idx="0">
                  <c:v>ARG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1.7935431365577546E-2"/>
                  <c:y val="1.86267237952239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775-684B-8EE5-BF8C24FE10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419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'5 paises WB'!$C$3:$W$3</c:f>
              <c:numCache>
                <c:formatCode>General</c:formatCode>
                <c:ptCount val="2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</c:numCache>
            </c:numRef>
          </c:cat>
          <c:val>
            <c:numRef>
              <c:f>'5 paises WB'!$C$4:$W$4</c:f>
              <c:numCache>
                <c:formatCode>0.00</c:formatCode>
                <c:ptCount val="21"/>
                <c:pt idx="0">
                  <c:v>41.798942565917969</c:v>
                </c:pt>
                <c:pt idx="1">
                  <c:v>40.211639404296875</c:v>
                </c:pt>
                <c:pt idx="2">
                  <c:v>39.901477813720703</c:v>
                </c:pt>
                <c:pt idx="3">
                  <c:v>43.414634704589844</c:v>
                </c:pt>
                <c:pt idx="4">
                  <c:v>43.414634704589844</c:v>
                </c:pt>
                <c:pt idx="5">
                  <c:v>44.174758911132812</c:v>
                </c:pt>
                <c:pt idx="6">
                  <c:v>39.805824279785156</c:v>
                </c:pt>
                <c:pt idx="7">
                  <c:v>40.191387176513672</c:v>
                </c:pt>
                <c:pt idx="8">
                  <c:v>44.761905670166016</c:v>
                </c:pt>
                <c:pt idx="9">
                  <c:v>43.601894378662109</c:v>
                </c:pt>
                <c:pt idx="10">
                  <c:v>40.284358978271484</c:v>
                </c:pt>
                <c:pt idx="11">
                  <c:v>40.758293151855469</c:v>
                </c:pt>
                <c:pt idx="12">
                  <c:v>35.576923370361328</c:v>
                </c:pt>
                <c:pt idx="13">
                  <c:v>33.809524536132812</c:v>
                </c:pt>
                <c:pt idx="14">
                  <c:v>45.714286804199219</c:v>
                </c:pt>
                <c:pt idx="15">
                  <c:v>44.285713195800781</c:v>
                </c:pt>
                <c:pt idx="16">
                  <c:v>53.809524536132812</c:v>
                </c:pt>
                <c:pt idx="17">
                  <c:v>52.857143402099609</c:v>
                </c:pt>
                <c:pt idx="18">
                  <c:v>47.619049072265625</c:v>
                </c:pt>
                <c:pt idx="19">
                  <c:v>38.095237731933594</c:v>
                </c:pt>
                <c:pt idx="20">
                  <c:v>36.320755004882812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4A-2C45-B214-D58DF4671461}"/>
            </c:ext>
          </c:extLst>
        </c:ser>
        <c:ser>
          <c:idx val="1"/>
          <c:order val="1"/>
          <c:tx>
            <c:strRef>
              <c:f>'5 paises WB'!$B$5</c:f>
              <c:strCache>
                <c:ptCount val="1"/>
                <c:pt idx="0">
                  <c:v>BRA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4"/>
              <c:layout>
                <c:manualLayout>
                  <c:x val="-2.7746239206421611E-2"/>
                  <c:y val="-8.680880673083157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775-684B-8EE5-BF8C24FE10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419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'5 paises WB'!$C$3:$W$3</c:f>
              <c:numCache>
                <c:formatCode>General</c:formatCode>
                <c:ptCount val="2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</c:numCache>
            </c:numRef>
          </c:cat>
          <c:val>
            <c:numRef>
              <c:f>'5 paises WB'!$C$5:$W$5</c:f>
              <c:numCache>
                <c:formatCode>0.00</c:formatCode>
                <c:ptCount val="21"/>
                <c:pt idx="0">
                  <c:v>58.730159759521484</c:v>
                </c:pt>
                <c:pt idx="1">
                  <c:v>59.788360595703125</c:v>
                </c:pt>
                <c:pt idx="2">
                  <c:v>54.679801940917969</c:v>
                </c:pt>
                <c:pt idx="3">
                  <c:v>51.707317352294922</c:v>
                </c:pt>
                <c:pt idx="4">
                  <c:v>53.170730590820312</c:v>
                </c:pt>
                <c:pt idx="5">
                  <c:v>54.8543701171875</c:v>
                </c:pt>
                <c:pt idx="6">
                  <c:v>57.766990661621094</c:v>
                </c:pt>
                <c:pt idx="7">
                  <c:v>56.459331512451172</c:v>
                </c:pt>
                <c:pt idx="8">
                  <c:v>60.476188659667969</c:v>
                </c:pt>
                <c:pt idx="9">
                  <c:v>63.033176422119141</c:v>
                </c:pt>
                <c:pt idx="10">
                  <c:v>56.398105621337891</c:v>
                </c:pt>
                <c:pt idx="11">
                  <c:v>54.976303100585938</c:v>
                </c:pt>
                <c:pt idx="12">
                  <c:v>44.230770111083984</c:v>
                </c:pt>
                <c:pt idx="13">
                  <c:v>40.952381134033203</c:v>
                </c:pt>
                <c:pt idx="14">
                  <c:v>39.523811340332031</c:v>
                </c:pt>
                <c:pt idx="15">
                  <c:v>35.714286804199219</c:v>
                </c:pt>
                <c:pt idx="16">
                  <c:v>38.095237731933594</c:v>
                </c:pt>
                <c:pt idx="17">
                  <c:v>40</c:v>
                </c:pt>
                <c:pt idx="18">
                  <c:v>37.619049072265625</c:v>
                </c:pt>
                <c:pt idx="19">
                  <c:v>34.285713195800781</c:v>
                </c:pt>
                <c:pt idx="20">
                  <c:v>32.075469970703125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4A-2C45-B214-D58DF4671461}"/>
            </c:ext>
          </c:extLst>
        </c:ser>
        <c:ser>
          <c:idx val="2"/>
          <c:order val="2"/>
          <c:tx>
            <c:strRef>
              <c:f>'5 paises WB'!$B$6</c:f>
              <c:strCache>
                <c:ptCount val="1"/>
                <c:pt idx="0">
                  <c:v>CHL</c:v>
                </c:pt>
              </c:strCache>
            </c:strRef>
          </c:tx>
          <c:spPr>
            <a:ln w="28575" cap="rnd">
              <a:solidFill>
                <a:srgbClr val="FF40FF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419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'5 paises WB'!$C$3:$W$3</c:f>
              <c:numCache>
                <c:formatCode>General</c:formatCode>
                <c:ptCount val="2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</c:numCache>
            </c:numRef>
          </c:cat>
          <c:val>
            <c:numRef>
              <c:f>'5 paises WB'!$C$6:$W$6</c:f>
              <c:numCache>
                <c:formatCode>0.00</c:formatCode>
                <c:ptCount val="21"/>
                <c:pt idx="0">
                  <c:v>90.476188659667969</c:v>
                </c:pt>
                <c:pt idx="1">
                  <c:v>83.597885131835938</c:v>
                </c:pt>
                <c:pt idx="2">
                  <c:v>87.684730529785156</c:v>
                </c:pt>
                <c:pt idx="3">
                  <c:v>91.219512939453125</c:v>
                </c:pt>
                <c:pt idx="4">
                  <c:v>91.219512939453125</c:v>
                </c:pt>
                <c:pt idx="5">
                  <c:v>89.805824279785156</c:v>
                </c:pt>
                <c:pt idx="6">
                  <c:v>88.349517822265625</c:v>
                </c:pt>
                <c:pt idx="7">
                  <c:v>88.038276672363281</c:v>
                </c:pt>
                <c:pt idx="8">
                  <c:v>89.523811340332031</c:v>
                </c:pt>
                <c:pt idx="9">
                  <c:v>90.047393798828125</c:v>
                </c:pt>
                <c:pt idx="10">
                  <c:v>90.995262145996094</c:v>
                </c:pt>
                <c:pt idx="11">
                  <c:v>90.047393798828125</c:v>
                </c:pt>
                <c:pt idx="12">
                  <c:v>90.384613037109375</c:v>
                </c:pt>
                <c:pt idx="13">
                  <c:v>87.142860412597656</c:v>
                </c:pt>
                <c:pt idx="14">
                  <c:v>80.476188659667969</c:v>
                </c:pt>
                <c:pt idx="15">
                  <c:v>81.428573608398438</c:v>
                </c:pt>
                <c:pt idx="16">
                  <c:v>80.952377319335938</c:v>
                </c:pt>
                <c:pt idx="17">
                  <c:v>80.476188659667969</c:v>
                </c:pt>
                <c:pt idx="18">
                  <c:v>83.333335876464844</c:v>
                </c:pt>
                <c:pt idx="19">
                  <c:v>80.952377319335938</c:v>
                </c:pt>
                <c:pt idx="20">
                  <c:v>80.660377502441406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4A-2C45-B214-D58DF4671461}"/>
            </c:ext>
          </c:extLst>
        </c:ser>
        <c:ser>
          <c:idx val="3"/>
          <c:order val="3"/>
          <c:tx>
            <c:strRef>
              <c:f>'5 paises WB'!$B$7</c:f>
              <c:strCache>
                <c:ptCount val="1"/>
                <c:pt idx="0">
                  <c:v>COL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layout>
                <c:manualLayout>
                  <c:x val="-2.2840835285999533E-2"/>
                  <c:y val="-1.49404967420022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75-684B-8EE5-BF8C24FE104B}"/>
                </c:ext>
              </c:extLst>
            </c:dLbl>
            <c:dLbl>
              <c:idx val="14"/>
              <c:layout>
                <c:manualLayout>
                  <c:x val="-2.1614484305894126E-2"/>
                  <c:y val="-1.2649624490582365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775-684B-8EE5-BF8C24FE10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419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'5 paises WB'!$C$3:$W$3</c:f>
              <c:numCache>
                <c:formatCode>General</c:formatCode>
                <c:ptCount val="2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</c:numCache>
            </c:numRef>
          </c:cat>
          <c:val>
            <c:numRef>
              <c:f>'5 paises WB'!$C$7:$W$7</c:f>
              <c:numCache>
                <c:formatCode>0.00</c:formatCode>
                <c:ptCount val="21"/>
                <c:pt idx="0">
                  <c:v>46.560848236083984</c:v>
                </c:pt>
                <c:pt idx="1">
                  <c:v>50.793651580810547</c:v>
                </c:pt>
                <c:pt idx="2">
                  <c:v>52.216747283935547</c:v>
                </c:pt>
                <c:pt idx="3">
                  <c:v>52.195121765136719</c:v>
                </c:pt>
                <c:pt idx="4">
                  <c:v>52.195121765136719</c:v>
                </c:pt>
                <c:pt idx="5">
                  <c:v>49.029125213623047</c:v>
                </c:pt>
                <c:pt idx="6">
                  <c:v>49.514564514160156</c:v>
                </c:pt>
                <c:pt idx="7">
                  <c:v>45.454544067382812</c:v>
                </c:pt>
                <c:pt idx="8">
                  <c:v>41.428569793701172</c:v>
                </c:pt>
                <c:pt idx="9">
                  <c:v>47.393363952636719</c:v>
                </c:pt>
                <c:pt idx="10">
                  <c:v>42.180095672607422</c:v>
                </c:pt>
                <c:pt idx="11">
                  <c:v>40.284358978271484</c:v>
                </c:pt>
                <c:pt idx="12">
                  <c:v>42.788459777832031</c:v>
                </c:pt>
                <c:pt idx="13">
                  <c:v>44.761905670166016</c:v>
                </c:pt>
                <c:pt idx="14">
                  <c:v>41.904762268066406</c:v>
                </c:pt>
                <c:pt idx="15">
                  <c:v>42.380950927734375</c:v>
                </c:pt>
                <c:pt idx="16">
                  <c:v>43.333332061767578</c:v>
                </c:pt>
                <c:pt idx="17">
                  <c:v>46.190475463867188</c:v>
                </c:pt>
                <c:pt idx="18">
                  <c:v>45.714286804199219</c:v>
                </c:pt>
                <c:pt idx="19">
                  <c:v>42.380950927734375</c:v>
                </c:pt>
                <c:pt idx="20">
                  <c:v>41.037734985351562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4A-2C45-B214-D58DF4671461}"/>
            </c:ext>
          </c:extLst>
        </c:ser>
        <c:ser>
          <c:idx val="4"/>
          <c:order val="4"/>
          <c:tx>
            <c:strRef>
              <c:f>'5 paises WB'!$B$8</c:f>
              <c:strCache>
                <c:ptCount val="1"/>
                <c:pt idx="0">
                  <c:v>URY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12"/>
              <c:layout>
                <c:manualLayout>
                  <c:x val="-4.590529076003131E-2"/>
                  <c:y val="5.0039208872227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75-684B-8EE5-BF8C24FE10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419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'5 paises WB'!$C$3:$W$3</c:f>
              <c:numCache>
                <c:formatCode>General</c:formatCode>
                <c:ptCount val="2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</c:numCache>
            </c:numRef>
          </c:cat>
          <c:val>
            <c:numRef>
              <c:f>'5 paises WB'!$C$8:$W$8</c:f>
              <c:numCache>
                <c:formatCode>0.00</c:formatCode>
                <c:ptCount val="21"/>
                <c:pt idx="0">
                  <c:v>82.010581970214844</c:v>
                </c:pt>
                <c:pt idx="1">
                  <c:v>82.539680480957031</c:v>
                </c:pt>
                <c:pt idx="2">
                  <c:v>81.280784606933594</c:v>
                </c:pt>
                <c:pt idx="3">
                  <c:v>81.951217651367188</c:v>
                </c:pt>
                <c:pt idx="4">
                  <c:v>83.902435302734375</c:v>
                </c:pt>
                <c:pt idx="5">
                  <c:v>88.834953308105469</c:v>
                </c:pt>
                <c:pt idx="6">
                  <c:v>89.805824279785156</c:v>
                </c:pt>
                <c:pt idx="7">
                  <c:v>84.688995361328125</c:v>
                </c:pt>
                <c:pt idx="8">
                  <c:v>85.714286804199219</c:v>
                </c:pt>
                <c:pt idx="9">
                  <c:v>87.677726745605469</c:v>
                </c:pt>
                <c:pt idx="10">
                  <c:v>88.625595092773438</c:v>
                </c:pt>
                <c:pt idx="11">
                  <c:v>89.573463439941406</c:v>
                </c:pt>
                <c:pt idx="12">
                  <c:v>89.903846740722656</c:v>
                </c:pt>
                <c:pt idx="13">
                  <c:v>89.047622680664062</c:v>
                </c:pt>
                <c:pt idx="14">
                  <c:v>89.047622680664062</c:v>
                </c:pt>
                <c:pt idx="15">
                  <c:v>88.095237731933594</c:v>
                </c:pt>
                <c:pt idx="16">
                  <c:v>86.666664123535156</c:v>
                </c:pt>
                <c:pt idx="17">
                  <c:v>88.095237731933594</c:v>
                </c:pt>
                <c:pt idx="18">
                  <c:v>89.047622680664062</c:v>
                </c:pt>
                <c:pt idx="19">
                  <c:v>91.428573608398438</c:v>
                </c:pt>
                <c:pt idx="20">
                  <c:v>91.981132507324219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44A-2C45-B214-D58DF4671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9044063"/>
        <c:axId val="749045775"/>
      </c:lineChart>
      <c:catAx>
        <c:axId val="74904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419"/>
          </a:p>
        </c:txPr>
        <c:crossAx val="749045775"/>
        <c:crosses val="autoZero"/>
        <c:auto val="1"/>
        <c:lblAlgn val="ctr"/>
        <c:lblOffset val="100"/>
        <c:noMultiLvlLbl val="0"/>
      </c:catAx>
      <c:valAx>
        <c:axId val="749045775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419"/>
          </a:p>
        </c:txPr>
        <c:crossAx val="749044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 sz="180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Figura 2. índice de percepción de corrupción</a:t>
            </a:r>
          </a:p>
          <a:p>
            <a:pPr>
              <a:defRPr/>
            </a:pPr>
            <a:r>
              <a:rPr lang="es-419" sz="180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2002 al 2011 </a:t>
            </a:r>
            <a:endParaRPr lang="es-419" sz="14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 PAISES IPC'!$B$3</c:f>
              <c:strCache>
                <c:ptCount val="1"/>
                <c:pt idx="0">
                  <c:v>ARG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'5 PAISES IPC'!$C$2:$L$2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'5 PAISES IPC'!$C$3:$L$3</c:f>
              <c:numCache>
                <c:formatCode>0.00</c:formatCode>
                <c:ptCount val="10"/>
                <c:pt idx="0">
                  <c:v>2.8</c:v>
                </c:pt>
                <c:pt idx="1">
                  <c:v>2.5</c:v>
                </c:pt>
                <c:pt idx="2">
                  <c:v>2.5</c:v>
                </c:pt>
                <c:pt idx="3">
                  <c:v>2.8</c:v>
                </c:pt>
                <c:pt idx="4">
                  <c:v>2.9</c:v>
                </c:pt>
                <c:pt idx="5">
                  <c:v>2.9</c:v>
                </c:pt>
                <c:pt idx="6">
                  <c:v>2.9</c:v>
                </c:pt>
                <c:pt idx="7">
                  <c:v>2.9</c:v>
                </c:pt>
                <c:pt idx="8">
                  <c:v>2.9</c:v>
                </c:pt>
                <c:pt idx="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FA-204F-9773-887A5188F6AD}"/>
            </c:ext>
          </c:extLst>
        </c:ser>
        <c:ser>
          <c:idx val="1"/>
          <c:order val="1"/>
          <c:tx>
            <c:strRef>
              <c:f>'5 PAISES IPC'!$B$4</c:f>
              <c:strCache>
                <c:ptCount val="1"/>
                <c:pt idx="0">
                  <c:v>BRA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'5 PAISES IPC'!$C$2:$L$2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'5 PAISES IPC'!$C$4:$L$4</c:f>
              <c:numCache>
                <c:formatCode>0.00</c:formatCode>
                <c:ptCount val="10"/>
                <c:pt idx="0">
                  <c:v>4</c:v>
                </c:pt>
                <c:pt idx="1">
                  <c:v>3.9</c:v>
                </c:pt>
                <c:pt idx="2">
                  <c:v>3.9</c:v>
                </c:pt>
                <c:pt idx="3">
                  <c:v>3.7</c:v>
                </c:pt>
                <c:pt idx="4">
                  <c:v>3.3</c:v>
                </c:pt>
                <c:pt idx="5">
                  <c:v>3.5</c:v>
                </c:pt>
                <c:pt idx="6">
                  <c:v>3.5</c:v>
                </c:pt>
                <c:pt idx="7">
                  <c:v>3.7</c:v>
                </c:pt>
                <c:pt idx="8">
                  <c:v>3.7</c:v>
                </c:pt>
                <c:pt idx="9">
                  <c:v>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FA-204F-9773-887A5188F6AD}"/>
            </c:ext>
          </c:extLst>
        </c:ser>
        <c:ser>
          <c:idx val="2"/>
          <c:order val="2"/>
          <c:tx>
            <c:strRef>
              <c:f>'5 PAISES IPC'!$B$5</c:f>
              <c:strCache>
                <c:ptCount val="1"/>
                <c:pt idx="0">
                  <c:v>CHL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'5 PAISES IPC'!$C$2:$L$2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'5 PAISES IPC'!$C$5:$L$5</c:f>
              <c:numCache>
                <c:formatCode>0.00</c:formatCode>
                <c:ptCount val="10"/>
                <c:pt idx="0">
                  <c:v>7.5</c:v>
                </c:pt>
                <c:pt idx="1">
                  <c:v>7.4</c:v>
                </c:pt>
                <c:pt idx="2">
                  <c:v>7.4</c:v>
                </c:pt>
                <c:pt idx="3">
                  <c:v>7.3</c:v>
                </c:pt>
                <c:pt idx="4">
                  <c:v>7.3</c:v>
                </c:pt>
                <c:pt idx="5">
                  <c:v>7</c:v>
                </c:pt>
                <c:pt idx="6">
                  <c:v>6.9</c:v>
                </c:pt>
                <c:pt idx="7">
                  <c:v>6.7</c:v>
                </c:pt>
                <c:pt idx="8">
                  <c:v>7.2</c:v>
                </c:pt>
                <c:pt idx="9">
                  <c:v>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FA-204F-9773-887A5188F6AD}"/>
            </c:ext>
          </c:extLst>
        </c:ser>
        <c:ser>
          <c:idx val="3"/>
          <c:order val="3"/>
          <c:tx>
            <c:strRef>
              <c:f>'5 PAISES IPC'!$B$6</c:f>
              <c:strCache>
                <c:ptCount val="1"/>
                <c:pt idx="0">
                  <c:v>COL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'5 PAISES IPC'!$C$2:$L$2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'5 PAISES IPC'!$C$6:$L$6</c:f>
              <c:numCache>
                <c:formatCode>0.00</c:formatCode>
                <c:ptCount val="10"/>
                <c:pt idx="0">
                  <c:v>3.6</c:v>
                </c:pt>
                <c:pt idx="1">
                  <c:v>3.7</c:v>
                </c:pt>
                <c:pt idx="2">
                  <c:v>3.8</c:v>
                </c:pt>
                <c:pt idx="3">
                  <c:v>4</c:v>
                </c:pt>
                <c:pt idx="4">
                  <c:v>3.9</c:v>
                </c:pt>
                <c:pt idx="5">
                  <c:v>3.8</c:v>
                </c:pt>
                <c:pt idx="6">
                  <c:v>3.8</c:v>
                </c:pt>
                <c:pt idx="7">
                  <c:v>3.7</c:v>
                </c:pt>
                <c:pt idx="8">
                  <c:v>3.5</c:v>
                </c:pt>
                <c:pt idx="9">
                  <c:v>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FA-204F-9773-887A5188F6AD}"/>
            </c:ext>
          </c:extLst>
        </c:ser>
        <c:ser>
          <c:idx val="4"/>
          <c:order val="4"/>
          <c:tx>
            <c:strRef>
              <c:f>'5 PAISES IPC'!$B$7</c:f>
              <c:strCache>
                <c:ptCount val="1"/>
                <c:pt idx="0">
                  <c:v>URY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'5 PAISES IPC'!$C$2:$L$2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'5 PAISES IPC'!$C$7:$L$7</c:f>
              <c:numCache>
                <c:formatCode>0.00</c:formatCode>
                <c:ptCount val="10"/>
                <c:pt idx="0">
                  <c:v>5.0999999999999996</c:v>
                </c:pt>
                <c:pt idx="1">
                  <c:v>5.5</c:v>
                </c:pt>
                <c:pt idx="2">
                  <c:v>6.2</c:v>
                </c:pt>
                <c:pt idx="3">
                  <c:v>5.9</c:v>
                </c:pt>
                <c:pt idx="4">
                  <c:v>6.4</c:v>
                </c:pt>
                <c:pt idx="5">
                  <c:v>6.7</c:v>
                </c:pt>
                <c:pt idx="6">
                  <c:v>6.9</c:v>
                </c:pt>
                <c:pt idx="7">
                  <c:v>6.7</c:v>
                </c:pt>
                <c:pt idx="8">
                  <c:v>6.9</c:v>
                </c:pt>
                <c:pt idx="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1FA-204F-9773-887A5188F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0368959"/>
        <c:axId val="564802207"/>
      </c:lineChart>
      <c:catAx>
        <c:axId val="830368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419"/>
          </a:p>
        </c:txPr>
        <c:crossAx val="564802207"/>
        <c:crosses val="autoZero"/>
        <c:auto val="1"/>
        <c:lblAlgn val="ctr"/>
        <c:lblOffset val="100"/>
        <c:noMultiLvlLbl val="0"/>
      </c:catAx>
      <c:valAx>
        <c:axId val="564802207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419"/>
          </a:p>
        </c:txPr>
        <c:crossAx val="830368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Figura 3. índice de percepción de corrupción</a:t>
            </a:r>
          </a:p>
          <a:p>
            <a:pPr>
              <a:defRPr sz="1800"/>
            </a:pPr>
            <a:r>
              <a:rPr lang="es-419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2012 al 2022</a:t>
            </a:r>
            <a:endParaRPr lang="es-419" sz="18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>
        <c:manualLayout>
          <c:layoutTarget val="inner"/>
          <c:xMode val="edge"/>
          <c:yMode val="edge"/>
          <c:x val="5.0527652522739046E-2"/>
          <c:y val="4.366091387376099E-2"/>
          <c:w val="0.94947234747726095"/>
          <c:h val="0.9197643617111666"/>
        </c:manualLayout>
      </c:layout>
      <c:lineChart>
        <c:grouping val="standard"/>
        <c:varyColors val="0"/>
        <c:ser>
          <c:idx val="0"/>
          <c:order val="0"/>
          <c:tx>
            <c:strRef>
              <c:f>'5 PAISES IPC'!$N$3</c:f>
              <c:strCache>
                <c:ptCount val="1"/>
                <c:pt idx="0">
                  <c:v>ARG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'5 PAISES IPC'!$O$2:$Y$2</c:f>
              <c:numCache>
                <c:formatCode>General</c:formatCod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numCache>
            </c:numRef>
          </c:cat>
          <c:val>
            <c:numRef>
              <c:f>'5 PAISES IPC'!$O$3:$Y$3</c:f>
              <c:numCache>
                <c:formatCode>0.00</c:formatCode>
                <c:ptCount val="11"/>
                <c:pt idx="0">
                  <c:v>35</c:v>
                </c:pt>
                <c:pt idx="1">
                  <c:v>34</c:v>
                </c:pt>
                <c:pt idx="2">
                  <c:v>34</c:v>
                </c:pt>
                <c:pt idx="3">
                  <c:v>32</c:v>
                </c:pt>
                <c:pt idx="4">
                  <c:v>36</c:v>
                </c:pt>
                <c:pt idx="5">
                  <c:v>39</c:v>
                </c:pt>
                <c:pt idx="6">
                  <c:v>40</c:v>
                </c:pt>
                <c:pt idx="7">
                  <c:v>45</c:v>
                </c:pt>
                <c:pt idx="8">
                  <c:v>42</c:v>
                </c:pt>
                <c:pt idx="9">
                  <c:v>38</c:v>
                </c:pt>
                <c:pt idx="10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E9-0A49-B70F-ABA0B89234AD}"/>
            </c:ext>
          </c:extLst>
        </c:ser>
        <c:ser>
          <c:idx val="1"/>
          <c:order val="1"/>
          <c:tx>
            <c:strRef>
              <c:f>'5 PAISES IPC'!$N$4</c:f>
              <c:strCache>
                <c:ptCount val="1"/>
                <c:pt idx="0">
                  <c:v>BRA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'5 PAISES IPC'!$O$2:$Y$2</c:f>
              <c:numCache>
                <c:formatCode>General</c:formatCod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numCache>
            </c:numRef>
          </c:cat>
          <c:val>
            <c:numRef>
              <c:f>'5 PAISES IPC'!$O$4:$Y$4</c:f>
              <c:numCache>
                <c:formatCode>0.00</c:formatCode>
                <c:ptCount val="11"/>
                <c:pt idx="0">
                  <c:v>43</c:v>
                </c:pt>
                <c:pt idx="1">
                  <c:v>42</c:v>
                </c:pt>
                <c:pt idx="2">
                  <c:v>43</c:v>
                </c:pt>
                <c:pt idx="3">
                  <c:v>38</c:v>
                </c:pt>
                <c:pt idx="4">
                  <c:v>40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38</c:v>
                </c:pt>
                <c:pt idx="9">
                  <c:v>38</c:v>
                </c:pt>
                <c:pt idx="10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E9-0A49-B70F-ABA0B89234AD}"/>
            </c:ext>
          </c:extLst>
        </c:ser>
        <c:ser>
          <c:idx val="2"/>
          <c:order val="2"/>
          <c:tx>
            <c:strRef>
              <c:f>'5 PAISES IPC'!$N$5</c:f>
              <c:strCache>
                <c:ptCount val="1"/>
                <c:pt idx="0">
                  <c:v>CHL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'5 PAISES IPC'!$O$2:$Y$2</c:f>
              <c:numCache>
                <c:formatCode>General</c:formatCod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numCache>
            </c:numRef>
          </c:cat>
          <c:val>
            <c:numRef>
              <c:f>'5 PAISES IPC'!$O$5:$Y$5</c:f>
              <c:numCache>
                <c:formatCode>0.00</c:formatCode>
                <c:ptCount val="11"/>
                <c:pt idx="0">
                  <c:v>72</c:v>
                </c:pt>
                <c:pt idx="1">
                  <c:v>71</c:v>
                </c:pt>
                <c:pt idx="2">
                  <c:v>73</c:v>
                </c:pt>
                <c:pt idx="3">
                  <c:v>70</c:v>
                </c:pt>
                <c:pt idx="4">
                  <c:v>66</c:v>
                </c:pt>
                <c:pt idx="5">
                  <c:v>67</c:v>
                </c:pt>
                <c:pt idx="6">
                  <c:v>67</c:v>
                </c:pt>
                <c:pt idx="7">
                  <c:v>67</c:v>
                </c:pt>
                <c:pt idx="8">
                  <c:v>67</c:v>
                </c:pt>
                <c:pt idx="9">
                  <c:v>67</c:v>
                </c:pt>
                <c:pt idx="10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E9-0A49-B70F-ABA0B89234AD}"/>
            </c:ext>
          </c:extLst>
        </c:ser>
        <c:ser>
          <c:idx val="3"/>
          <c:order val="3"/>
          <c:tx>
            <c:strRef>
              <c:f>'5 PAISES IPC'!$N$6</c:f>
              <c:strCache>
                <c:ptCount val="1"/>
                <c:pt idx="0">
                  <c:v>COL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'5 PAISES IPC'!$O$2:$Y$2</c:f>
              <c:numCache>
                <c:formatCode>General</c:formatCod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numCache>
            </c:numRef>
          </c:cat>
          <c:val>
            <c:numRef>
              <c:f>'5 PAISES IPC'!$O$6:$Y$6</c:f>
              <c:numCache>
                <c:formatCode>0.00</c:formatCode>
                <c:ptCount val="11"/>
                <c:pt idx="0">
                  <c:v>36</c:v>
                </c:pt>
                <c:pt idx="1">
                  <c:v>36</c:v>
                </c:pt>
                <c:pt idx="2">
                  <c:v>37</c:v>
                </c:pt>
                <c:pt idx="3">
                  <c:v>37</c:v>
                </c:pt>
                <c:pt idx="4">
                  <c:v>37</c:v>
                </c:pt>
                <c:pt idx="5">
                  <c:v>37</c:v>
                </c:pt>
                <c:pt idx="6">
                  <c:v>36</c:v>
                </c:pt>
                <c:pt idx="7">
                  <c:v>37</c:v>
                </c:pt>
                <c:pt idx="8">
                  <c:v>39</c:v>
                </c:pt>
                <c:pt idx="9">
                  <c:v>39</c:v>
                </c:pt>
                <c:pt idx="10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E9-0A49-B70F-ABA0B89234AD}"/>
            </c:ext>
          </c:extLst>
        </c:ser>
        <c:ser>
          <c:idx val="4"/>
          <c:order val="4"/>
          <c:tx>
            <c:strRef>
              <c:f>'5 PAISES IPC'!$N$7</c:f>
              <c:strCache>
                <c:ptCount val="1"/>
                <c:pt idx="0">
                  <c:v>URY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'5 PAISES IPC'!$O$2:$Y$2</c:f>
              <c:numCache>
                <c:formatCode>General</c:formatCod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numCache>
            </c:numRef>
          </c:cat>
          <c:val>
            <c:numRef>
              <c:f>'5 PAISES IPC'!$O$7:$Y$7</c:f>
              <c:numCache>
                <c:formatCode>0.00</c:formatCode>
                <c:ptCount val="11"/>
                <c:pt idx="0">
                  <c:v>72</c:v>
                </c:pt>
                <c:pt idx="1">
                  <c:v>73</c:v>
                </c:pt>
                <c:pt idx="2">
                  <c:v>73</c:v>
                </c:pt>
                <c:pt idx="3">
                  <c:v>74</c:v>
                </c:pt>
                <c:pt idx="4">
                  <c:v>71</c:v>
                </c:pt>
                <c:pt idx="5">
                  <c:v>70</c:v>
                </c:pt>
                <c:pt idx="6">
                  <c:v>70</c:v>
                </c:pt>
                <c:pt idx="7">
                  <c:v>71</c:v>
                </c:pt>
                <c:pt idx="8">
                  <c:v>71</c:v>
                </c:pt>
                <c:pt idx="9">
                  <c:v>73</c:v>
                </c:pt>
                <c:pt idx="10">
                  <c:v>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6E9-0A49-B70F-ABA0B8923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0026431"/>
        <c:axId val="900028143"/>
      </c:lineChart>
      <c:catAx>
        <c:axId val="900026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419"/>
          </a:p>
        </c:txPr>
        <c:crossAx val="900028143"/>
        <c:crosses val="autoZero"/>
        <c:auto val="1"/>
        <c:lblAlgn val="ctr"/>
        <c:lblOffset val="100"/>
        <c:noMultiLvlLbl val="0"/>
      </c:catAx>
      <c:valAx>
        <c:axId val="90002814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419"/>
          </a:p>
        </c:txPr>
        <c:crossAx val="900026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199262</xdr:colOff>
      <xdr:row>16</xdr:row>
      <xdr:rowOff>39969</xdr:rowOff>
    </xdr:from>
    <xdr:to>
      <xdr:col>24</xdr:col>
      <xdr:colOff>427566</xdr:colOff>
      <xdr:row>49</xdr:row>
      <xdr:rowOff>131232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0C288FF-0D78-EC00-5C97-EA1D9572DA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784412</xdr:colOff>
      <xdr:row>13</xdr:row>
      <xdr:rowOff>1</xdr:rowOff>
    </xdr:from>
    <xdr:to>
      <xdr:col>20</xdr:col>
      <xdr:colOff>765736</xdr:colOff>
      <xdr:row>54</xdr:row>
      <xdr:rowOff>168088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19FD0EA-D4FF-B084-0FDB-34BEC0AEB8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209550</xdr:colOff>
      <xdr:row>5</xdr:row>
      <xdr:rowOff>19050</xdr:rowOff>
    </xdr:from>
    <xdr:to>
      <xdr:col>20</xdr:col>
      <xdr:colOff>791883</xdr:colOff>
      <xdr:row>19</xdr:row>
      <xdr:rowOff>164353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BA2B06E-E026-A363-C79B-6E46A1981E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284255</xdr:colOff>
      <xdr:row>21</xdr:row>
      <xdr:rowOff>51921</xdr:rowOff>
    </xdr:from>
    <xdr:to>
      <xdr:col>21</xdr:col>
      <xdr:colOff>14941</xdr:colOff>
      <xdr:row>35</xdr:row>
      <xdr:rowOff>149413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D39272E-4AE4-076C-EB22-A753EEA12A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77229</xdr:colOff>
      <xdr:row>5</xdr:row>
      <xdr:rowOff>42472</xdr:rowOff>
    </xdr:from>
    <xdr:to>
      <xdr:col>28</xdr:col>
      <xdr:colOff>580767</xdr:colOff>
      <xdr:row>19</xdr:row>
      <xdr:rowOff>20298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542F8BA-23E4-3713-0A4C-A1764198B4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1</xdr:row>
      <xdr:rowOff>31750</xdr:rowOff>
    </xdr:from>
    <xdr:to>
      <xdr:col>12</xdr:col>
      <xdr:colOff>266700</xdr:colOff>
      <xdr:row>11</xdr:row>
      <xdr:rowOff>190500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9D768FF-1CE2-084B-29FB-E101933BE7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6350</xdr:colOff>
      <xdr:row>13</xdr:row>
      <xdr:rowOff>6350</xdr:rowOff>
    </xdr:from>
    <xdr:to>
      <xdr:col>12</xdr:col>
      <xdr:colOff>177800</xdr:colOff>
      <xdr:row>24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8C656C3-9B5A-7F5D-365E-8B592A8B3A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19050</xdr:colOff>
      <xdr:row>25</xdr:row>
      <xdr:rowOff>95250</xdr:rowOff>
    </xdr:from>
    <xdr:to>
      <xdr:col>12</xdr:col>
      <xdr:colOff>165100</xdr:colOff>
      <xdr:row>37</xdr:row>
      <xdr:rowOff>88900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B175FBD-5406-A7AC-362C-27910AFE11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603250</xdr:colOff>
      <xdr:row>1</xdr:row>
      <xdr:rowOff>44450</xdr:rowOff>
    </xdr:from>
    <xdr:to>
      <xdr:col>16</xdr:col>
      <xdr:colOff>787400</xdr:colOff>
      <xdr:row>12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7010C32-EF9D-37D6-0EB0-4A7D2DCA38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565150</xdr:colOff>
      <xdr:row>12</xdr:row>
      <xdr:rowOff>196850</xdr:rowOff>
    </xdr:from>
    <xdr:to>
      <xdr:col>16</xdr:col>
      <xdr:colOff>723900</xdr:colOff>
      <xdr:row>25</xdr:row>
      <xdr:rowOff>177800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0363AC7-2DEA-EC3F-9D87-A8B1271836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29087</xdr:colOff>
      <xdr:row>9</xdr:row>
      <xdr:rowOff>7960</xdr:rowOff>
    </xdr:from>
    <xdr:to>
      <xdr:col>16</xdr:col>
      <xdr:colOff>440267</xdr:colOff>
      <xdr:row>58</xdr:row>
      <xdr:rowOff>203199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47739BA-AC5F-AF02-BFA6-2486AADAA3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765373</xdr:colOff>
      <xdr:row>8</xdr:row>
      <xdr:rowOff>9188</xdr:rowOff>
    </xdr:from>
    <xdr:to>
      <xdr:col>18</xdr:col>
      <xdr:colOff>574523</xdr:colOff>
      <xdr:row>87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6D9285D-705C-E290-9FA7-0CBCEAC64D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37851</xdr:colOff>
      <xdr:row>8</xdr:row>
      <xdr:rowOff>13929</xdr:rowOff>
    </xdr:from>
    <xdr:to>
      <xdr:col>39</xdr:col>
      <xdr:colOff>393096</xdr:colOff>
      <xdr:row>87</xdr:row>
      <xdr:rowOff>122464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921ECAC-F563-DAAE-7F5A-0C6B39D93A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worldbank.org/content/dam/sites/govindicators/doc/GCB.xlsx" TargetMode="External"/><Relationship Id="rId18" Type="http://schemas.openxmlformats.org/officeDocument/2006/relationships/hyperlink" Target="https://www.worldbank.org/content/dam/sites/govindicators/doc/HRM.xlsx" TargetMode="External"/><Relationship Id="rId26" Type="http://schemas.openxmlformats.org/officeDocument/2006/relationships/hyperlink" Target="https://www.worldbank.org/content/dam/sites/govindicators/doc/LBO.xlsx" TargetMode="External"/><Relationship Id="rId3" Type="http://schemas.openxmlformats.org/officeDocument/2006/relationships/hyperlink" Target="https://www.worldbank.org/content/dam/sites/govindicators/doc/AFR.xlsx" TargetMode="External"/><Relationship Id="rId21" Type="http://schemas.openxmlformats.org/officeDocument/2006/relationships/hyperlink" Target="https://www.worldbank.org/content/dam/sites/govindicators/doc/IJT.xlsx" TargetMode="External"/><Relationship Id="rId34" Type="http://schemas.openxmlformats.org/officeDocument/2006/relationships/hyperlink" Target="https://www.worldbank.org/content/dam/sites/govindicators/doc/WJP.xlsx" TargetMode="External"/><Relationship Id="rId7" Type="http://schemas.openxmlformats.org/officeDocument/2006/relationships/hyperlink" Target="https://www.worldbank.org/content/dam/sites/govindicators/doc/HUM.xlsx" TargetMode="External"/><Relationship Id="rId12" Type="http://schemas.openxmlformats.org/officeDocument/2006/relationships/hyperlink" Target="https://www.worldbank.org/content/dam/sites/govindicators/doc/CCR.xlsx" TargetMode="External"/><Relationship Id="rId17" Type="http://schemas.openxmlformats.org/officeDocument/2006/relationships/hyperlink" Target="https://www.worldbank.org/content/dam/sites/govindicators/doc/HER.xlsx" TargetMode="External"/><Relationship Id="rId25" Type="http://schemas.openxmlformats.org/officeDocument/2006/relationships/hyperlink" Target="https://www.worldbank.org/content/dam/sites/govindicators/doc/OBI.xlsx" TargetMode="External"/><Relationship Id="rId33" Type="http://schemas.openxmlformats.org/officeDocument/2006/relationships/hyperlink" Target="https://www.worldbank.org/content/dam/sites/govindicators/doc/PIA.xlsx" TargetMode="External"/><Relationship Id="rId2" Type="http://schemas.openxmlformats.org/officeDocument/2006/relationships/hyperlink" Target="https://www.worldbank.org/content/dam/sites/govindicators/doc/IRP.xlsx" TargetMode="External"/><Relationship Id="rId16" Type="http://schemas.openxmlformats.org/officeDocument/2006/relationships/hyperlink" Target="https://www.worldbank.org/content/dam/sites/govindicators/doc/GWP.xlsx" TargetMode="External"/><Relationship Id="rId20" Type="http://schemas.openxmlformats.org/officeDocument/2006/relationships/hyperlink" Target="https://www.worldbank.org/content/dam/sites/govindicators/doc/WMO.xlsx" TargetMode="External"/><Relationship Id="rId29" Type="http://schemas.openxmlformats.org/officeDocument/2006/relationships/hyperlink" Target="https://www.worldbank.org/content/dam/sites/govindicators/doc/RSF.xlsx" TargetMode="External"/><Relationship Id="rId1" Type="http://schemas.openxmlformats.org/officeDocument/2006/relationships/hyperlink" Target="https://www.worldbank.org/content/dam/sites/govindicators/doc/ADB.xlsx" TargetMode="External"/><Relationship Id="rId6" Type="http://schemas.openxmlformats.org/officeDocument/2006/relationships/hyperlink" Target="https://www.worldbank.org/content/dam/sites/govindicators/doc/BTI.xlsx" TargetMode="External"/><Relationship Id="rId11" Type="http://schemas.openxmlformats.org/officeDocument/2006/relationships/hyperlink" Target="https://www.worldbank.org/content/dam/sites/govindicators/doc/FRH.xlsx" TargetMode="External"/><Relationship Id="rId24" Type="http://schemas.openxmlformats.org/officeDocument/2006/relationships/hyperlink" Target="https://www.worldbank.org/content/dam/sites/govindicators/doc/MSI.xlsx" TargetMode="External"/><Relationship Id="rId32" Type="http://schemas.openxmlformats.org/officeDocument/2006/relationships/hyperlink" Target="https://www.worldbank.org/content/dam/sites/govindicators/doc/VDM.xlsx" TargetMode="External"/><Relationship Id="rId5" Type="http://schemas.openxmlformats.org/officeDocument/2006/relationships/hyperlink" Target="https://www.worldbank.org/content/dam/sites/govindicators/doc/BPS.xlsx" TargetMode="External"/><Relationship Id="rId15" Type="http://schemas.openxmlformats.org/officeDocument/2006/relationships/hyperlink" Target="https://www.worldbank.org/content/dam/sites/govindicators/doc/GII.xlsx" TargetMode="External"/><Relationship Id="rId23" Type="http://schemas.openxmlformats.org/officeDocument/2006/relationships/hyperlink" Target="https://www.worldbank.org/content/dam/sites/govindicators/doc/IPD.xlsx" TargetMode="External"/><Relationship Id="rId28" Type="http://schemas.openxmlformats.org/officeDocument/2006/relationships/hyperlink" Target="https://www.worldbank.org/content/dam/sites/govindicators/doc/PRS.xlsx" TargetMode="External"/><Relationship Id="rId10" Type="http://schemas.openxmlformats.org/officeDocument/2006/relationships/hyperlink" Target="https://www.worldbank.org/content/dam/sites/govindicators/doc/EIU.xlsx" TargetMode="External"/><Relationship Id="rId19" Type="http://schemas.openxmlformats.org/officeDocument/2006/relationships/hyperlink" Target="https://www.worldbank.org/content/dam/sites/govindicators/doc/IFD.xlsx" TargetMode="External"/><Relationship Id="rId31" Type="http://schemas.openxmlformats.org/officeDocument/2006/relationships/hyperlink" Target="https://www.worldbank.org/content/dam/sites/govindicators/doc/VAB.xlsx" TargetMode="External"/><Relationship Id="rId4" Type="http://schemas.openxmlformats.org/officeDocument/2006/relationships/hyperlink" Target="https://www.worldbank.org/content/dam/sites/govindicators/doc/ASD.xlsx" TargetMode="External"/><Relationship Id="rId9" Type="http://schemas.openxmlformats.org/officeDocument/2006/relationships/hyperlink" Target="https://www.worldbank.org/content/dam/sites/govindicators/doc/EQI.xlsx" TargetMode="External"/><Relationship Id="rId14" Type="http://schemas.openxmlformats.org/officeDocument/2006/relationships/hyperlink" Target="https://www.worldbank.org/content/dam/sites/govindicators/doc/GCS.xlsx" TargetMode="External"/><Relationship Id="rId22" Type="http://schemas.openxmlformats.org/officeDocument/2006/relationships/hyperlink" Target="https://www.worldbank.org/content/dam/sites/govindicators/doc/WCY.xlsx" TargetMode="External"/><Relationship Id="rId27" Type="http://schemas.openxmlformats.org/officeDocument/2006/relationships/hyperlink" Target="https://www.worldbank.org/content/dam/sites/govindicators/doc/PRC.xlsx" TargetMode="External"/><Relationship Id="rId30" Type="http://schemas.openxmlformats.org/officeDocument/2006/relationships/hyperlink" Target="https://www.worldbank.org/content/dam/sites/govindicators/doc/TPR.xlsx" TargetMode="External"/><Relationship Id="rId8" Type="http://schemas.openxmlformats.org/officeDocument/2006/relationships/hyperlink" Target="https://www.worldbank.org/content/dam/sites/govindicators/doc/EBR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F0357-8435-FC42-B6FB-19452F49B773}">
  <dimension ref="A1:C35"/>
  <sheetViews>
    <sheetView workbookViewId="0">
      <selection activeCell="A35" sqref="A35"/>
    </sheetView>
  </sheetViews>
  <sheetFormatPr baseColWidth="10" defaultRowHeight="16" x14ac:dyDescent="0.2"/>
  <cols>
    <col min="1" max="1" width="70.5" bestFit="1" customWidth="1"/>
    <col min="2" max="2" width="27" bestFit="1" customWidth="1"/>
  </cols>
  <sheetData>
    <row r="1" spans="1:3" ht="20" x14ac:dyDescent="0.2">
      <c r="A1" s="1" t="s">
        <v>0</v>
      </c>
      <c r="B1" s="1" t="s">
        <v>1</v>
      </c>
    </row>
    <row r="2" spans="1:3" s="6" customFormat="1" ht="20" x14ac:dyDescent="0.2">
      <c r="A2" s="4" t="s">
        <v>2</v>
      </c>
      <c r="B2" s="5" t="s">
        <v>3</v>
      </c>
      <c r="C2" s="6" t="s">
        <v>41</v>
      </c>
    </row>
    <row r="3" spans="1:3" s="6" customFormat="1" ht="20" x14ac:dyDescent="0.2">
      <c r="A3" s="4" t="s">
        <v>4</v>
      </c>
      <c r="B3" s="5" t="s">
        <v>5</v>
      </c>
      <c r="C3" s="6" t="s">
        <v>41</v>
      </c>
    </row>
    <row r="4" spans="1:3" s="6" customFormat="1" ht="20" x14ac:dyDescent="0.2">
      <c r="A4" s="4" t="s">
        <v>6</v>
      </c>
      <c r="B4" s="5" t="s">
        <v>7</v>
      </c>
      <c r="C4" s="6" t="s">
        <v>41</v>
      </c>
    </row>
    <row r="5" spans="1:3" s="6" customFormat="1" ht="20" x14ac:dyDescent="0.2">
      <c r="A5" s="4" t="s">
        <v>8</v>
      </c>
      <c r="B5" s="5" t="s">
        <v>3</v>
      </c>
      <c r="C5" s="6" t="s">
        <v>42</v>
      </c>
    </row>
    <row r="6" spans="1:3" s="6" customFormat="1" ht="20" x14ac:dyDescent="0.2">
      <c r="A6" s="4" t="s">
        <v>9</v>
      </c>
      <c r="B6" s="5" t="s">
        <v>7</v>
      </c>
      <c r="C6" s="6" t="s">
        <v>43</v>
      </c>
    </row>
    <row r="7" spans="1:3" s="9" customFormat="1" ht="20" x14ac:dyDescent="0.2">
      <c r="A7" s="7" t="s">
        <v>10</v>
      </c>
      <c r="B7" s="8" t="s">
        <v>5</v>
      </c>
      <c r="C7" s="9" t="s">
        <v>44</v>
      </c>
    </row>
    <row r="8" spans="1:3" s="6" customFormat="1" ht="20" x14ac:dyDescent="0.2">
      <c r="A8" s="4" t="s">
        <v>11</v>
      </c>
      <c r="B8" s="5" t="s">
        <v>3</v>
      </c>
      <c r="C8" s="6" t="s">
        <v>50</v>
      </c>
    </row>
    <row r="9" spans="1:3" s="6" customFormat="1" ht="20" x14ac:dyDescent="0.2">
      <c r="A9" s="4" t="s">
        <v>12</v>
      </c>
      <c r="B9" s="5" t="s">
        <v>3</v>
      </c>
      <c r="C9" s="6" t="s">
        <v>50</v>
      </c>
    </row>
    <row r="10" spans="1:3" s="12" customFormat="1" ht="20" x14ac:dyDescent="0.2">
      <c r="A10" s="10" t="s">
        <v>13</v>
      </c>
      <c r="B10" s="11" t="s">
        <v>7</v>
      </c>
      <c r="C10" s="12" t="s">
        <v>51</v>
      </c>
    </row>
    <row r="11" spans="1:3" s="12" customFormat="1" ht="20" x14ac:dyDescent="0.2">
      <c r="A11" s="10" t="s">
        <v>14</v>
      </c>
      <c r="B11" s="11" t="s">
        <v>15</v>
      </c>
      <c r="C11" s="12" t="s">
        <v>44</v>
      </c>
    </row>
    <row r="12" spans="1:3" s="6" customFormat="1" ht="20" x14ac:dyDescent="0.2">
      <c r="A12" s="4" t="s">
        <v>16</v>
      </c>
      <c r="B12" s="5" t="s">
        <v>5</v>
      </c>
      <c r="C12" s="6" t="s">
        <v>43</v>
      </c>
    </row>
    <row r="13" spans="1:3" s="17" customFormat="1" ht="20" x14ac:dyDescent="0.2">
      <c r="A13" s="15" t="s">
        <v>17</v>
      </c>
      <c r="B13" s="16" t="s">
        <v>5</v>
      </c>
      <c r="C13" s="17" t="s">
        <v>54</v>
      </c>
    </row>
    <row r="14" spans="1:3" s="17" customFormat="1" ht="20" x14ac:dyDescent="0.2">
      <c r="A14" s="15" t="s">
        <v>18</v>
      </c>
      <c r="B14" s="16" t="s">
        <v>7</v>
      </c>
      <c r="C14" s="17" t="s">
        <v>54</v>
      </c>
    </row>
    <row r="15" spans="1:3" s="12" customFormat="1" ht="20" x14ac:dyDescent="0.2">
      <c r="A15" s="10" t="s">
        <v>19</v>
      </c>
      <c r="B15" s="11" t="s">
        <v>7</v>
      </c>
      <c r="C15" s="12" t="s">
        <v>44</v>
      </c>
    </row>
    <row r="16" spans="1:3" s="12" customFormat="1" ht="20" x14ac:dyDescent="0.2">
      <c r="A16" s="10" t="s">
        <v>20</v>
      </c>
      <c r="B16" s="11" t="s">
        <v>5</v>
      </c>
      <c r="C16" s="12" t="s">
        <v>44</v>
      </c>
    </row>
    <row r="17" spans="1:3" s="12" customFormat="1" ht="20" x14ac:dyDescent="0.2">
      <c r="A17" s="10" t="s">
        <v>21</v>
      </c>
      <c r="B17" s="11" t="s">
        <v>7</v>
      </c>
    </row>
    <row r="18" spans="1:3" s="6" customFormat="1" ht="20" x14ac:dyDescent="0.2">
      <c r="A18" s="4" t="s">
        <v>22</v>
      </c>
      <c r="B18" s="5" t="s">
        <v>5</v>
      </c>
      <c r="C18" s="6" t="s">
        <v>50</v>
      </c>
    </row>
    <row r="19" spans="1:3" s="6" customFormat="1" ht="20" x14ac:dyDescent="0.2">
      <c r="A19" s="4" t="s">
        <v>23</v>
      </c>
      <c r="B19" s="5" t="s">
        <v>5</v>
      </c>
      <c r="C19" s="6" t="s">
        <v>50</v>
      </c>
    </row>
    <row r="20" spans="1:3" s="17" customFormat="1" ht="20" x14ac:dyDescent="0.2">
      <c r="A20" s="15" t="s">
        <v>24</v>
      </c>
      <c r="B20" s="16" t="s">
        <v>3</v>
      </c>
      <c r="C20" s="17" t="s">
        <v>54</v>
      </c>
    </row>
    <row r="21" spans="1:3" s="17" customFormat="1" ht="20" x14ac:dyDescent="0.2">
      <c r="A21" s="15" t="s">
        <v>25</v>
      </c>
      <c r="B21" s="16" t="s">
        <v>15</v>
      </c>
    </row>
    <row r="22" spans="1:3" s="6" customFormat="1" ht="20" x14ac:dyDescent="0.2">
      <c r="A22" s="4" t="s">
        <v>26</v>
      </c>
      <c r="B22" s="5" t="s">
        <v>15</v>
      </c>
    </row>
    <row r="23" spans="1:3" s="12" customFormat="1" ht="20" x14ac:dyDescent="0.2">
      <c r="A23" s="10" t="s">
        <v>27</v>
      </c>
      <c r="B23" s="11" t="s">
        <v>7</v>
      </c>
    </row>
    <row r="24" spans="1:3" s="17" customFormat="1" ht="20" x14ac:dyDescent="0.2">
      <c r="A24" s="15" t="s">
        <v>28</v>
      </c>
      <c r="B24" s="16" t="s">
        <v>3</v>
      </c>
    </row>
    <row r="25" spans="1:3" s="6" customFormat="1" ht="20" x14ac:dyDescent="0.2">
      <c r="A25" s="4" t="s">
        <v>29</v>
      </c>
      <c r="B25" s="5" t="s">
        <v>5</v>
      </c>
    </row>
    <row r="26" spans="1:3" s="6" customFormat="1" ht="20" x14ac:dyDescent="0.2">
      <c r="A26" s="4" t="s">
        <v>30</v>
      </c>
      <c r="B26" s="5" t="s">
        <v>5</v>
      </c>
    </row>
    <row r="27" spans="1:3" s="17" customFormat="1" ht="20" x14ac:dyDescent="0.2">
      <c r="A27" s="15" t="s">
        <v>31</v>
      </c>
      <c r="B27" s="16" t="s">
        <v>7</v>
      </c>
    </row>
    <row r="28" spans="1:3" s="6" customFormat="1" ht="20" x14ac:dyDescent="0.2">
      <c r="A28" s="4" t="s">
        <v>32</v>
      </c>
      <c r="B28" s="5" t="s">
        <v>7</v>
      </c>
    </row>
    <row r="29" spans="1:3" s="12" customFormat="1" ht="20" x14ac:dyDescent="0.2">
      <c r="A29" s="10" t="s">
        <v>33</v>
      </c>
      <c r="B29" s="11" t="s">
        <v>15</v>
      </c>
    </row>
    <row r="30" spans="1:3" s="6" customFormat="1" ht="20" x14ac:dyDescent="0.2">
      <c r="A30" s="4" t="s">
        <v>34</v>
      </c>
      <c r="B30" s="5" t="s">
        <v>5</v>
      </c>
    </row>
    <row r="31" spans="1:3" s="6" customFormat="1" ht="20" x14ac:dyDescent="0.2">
      <c r="A31" s="4" t="s">
        <v>35</v>
      </c>
      <c r="B31" s="5" t="s">
        <v>3</v>
      </c>
    </row>
    <row r="32" spans="1:3" s="17" customFormat="1" ht="20" x14ac:dyDescent="0.2">
      <c r="A32" s="15" t="s">
        <v>36</v>
      </c>
      <c r="B32" s="16" t="s">
        <v>7</v>
      </c>
    </row>
    <row r="33" spans="1:2" s="17" customFormat="1" ht="20" x14ac:dyDescent="0.2">
      <c r="A33" s="15" t="s">
        <v>37</v>
      </c>
      <c r="B33" s="16" t="s">
        <v>5</v>
      </c>
    </row>
    <row r="34" spans="1:2" s="6" customFormat="1" ht="20" x14ac:dyDescent="0.2">
      <c r="A34" s="4" t="s">
        <v>38</v>
      </c>
      <c r="B34" s="5" t="s">
        <v>3</v>
      </c>
    </row>
    <row r="35" spans="1:2" ht="20" x14ac:dyDescent="0.2">
      <c r="A35" s="2" t="s">
        <v>39</v>
      </c>
      <c r="B35" s="3" t="s">
        <v>40</v>
      </c>
    </row>
  </sheetData>
  <hyperlinks>
    <hyperlink ref="A2" r:id="rId1" display="https://www.worldbank.org/content/dam/sites/govindicators/doc/ADB.xlsx" xr:uid="{5055C991-5EA7-E340-9DCA-89C1C695B820}"/>
    <hyperlink ref="A3" r:id="rId2" display="https://www.worldbank.org/content/dam/sites/govindicators/doc/IRP.xlsx" xr:uid="{9674CBF4-712F-7842-BAB3-7651035890D5}"/>
    <hyperlink ref="A4" r:id="rId3" display="https://www.worldbank.org/content/dam/sites/govindicators/doc/AFR.xlsx" xr:uid="{D2488EA4-0480-1F47-B291-12DAEA673013}"/>
    <hyperlink ref="A5" r:id="rId4" display="https://www.worldbank.org/content/dam/sites/govindicators/doc/ASD.xlsx" xr:uid="{8FE6A243-B1C6-DF4C-A122-8ADF9182475D}"/>
    <hyperlink ref="A6" r:id="rId5" display="https://www.worldbank.org/content/dam/sites/govindicators/doc/BPS.xlsx" xr:uid="{53B910FE-F6FB-9448-9679-12F4FA2C6E79}"/>
    <hyperlink ref="A7" r:id="rId6" display="https://www.worldbank.org/content/dam/sites/govindicators/doc/BTI.xlsx" xr:uid="{72224F35-2B3D-2B4F-A2BE-950296D14349}"/>
    <hyperlink ref="A8" r:id="rId7" display="https://www.worldbank.org/content/dam/sites/govindicators/doc/HUM.xlsx" xr:uid="{868F4497-7A14-364D-A0F3-57D00D071DE1}"/>
    <hyperlink ref="A9" r:id="rId8" display="https://www.worldbank.org/content/dam/sites/govindicators/doc/EBR.xlsx" xr:uid="{BA6B4C53-48C8-DB42-B431-82143566BED2}"/>
    <hyperlink ref="A10" r:id="rId9" display="https://www.worldbank.org/content/dam/sites/govindicators/doc/EQI.xlsx" xr:uid="{27618B76-EC1E-8346-A737-A865C7588688}"/>
    <hyperlink ref="A11" r:id="rId10" display="https://www.worldbank.org/content/dam/sites/govindicators/doc/EIU.xlsx" xr:uid="{2ABD5F36-0460-9E4B-84AC-04ED419A5A77}"/>
    <hyperlink ref="A12" r:id="rId11" display="https://www.worldbank.org/content/dam/sites/govindicators/doc/FRH.xlsx" xr:uid="{ECF3AADB-4361-CF4D-A074-969FEAD2A1E8}"/>
    <hyperlink ref="A13" r:id="rId12" display="https://www.worldbank.org/content/dam/sites/govindicators/doc/CCR.xlsx" xr:uid="{91E8FAE8-F521-7345-AA04-4DB69BF23947}"/>
    <hyperlink ref="A14" r:id="rId13" display="https://www.worldbank.org/content/dam/sites/govindicators/doc/GCB.xlsx" xr:uid="{0204F0D4-DB6B-5947-988F-617819C38AFB}"/>
    <hyperlink ref="A15" r:id="rId14" display="https://www.worldbank.org/content/dam/sites/govindicators/doc/GCS.xlsx" xr:uid="{5AEE43A9-4DB4-6C47-9655-377B75D9CB1A}"/>
    <hyperlink ref="A16" r:id="rId15" display="https://www.worldbank.org/content/dam/sites/govindicators/doc/GII.xlsx" xr:uid="{3B1AD9F7-FD5A-084E-8AC7-425A5656C901}"/>
    <hyperlink ref="A17" r:id="rId16" display="https://www.worldbank.org/content/dam/sites/govindicators/doc/GWP.xlsx" xr:uid="{08053644-5F3A-3047-90FD-1FAF2BD7D653}"/>
    <hyperlink ref="A18" r:id="rId17" display="https://www.worldbank.org/content/dam/sites/govindicators/doc/HER.xlsx" xr:uid="{899A416E-A686-F048-9167-04F50BE2C77B}"/>
    <hyperlink ref="A19" r:id="rId18" display="https://www.worldbank.org/content/dam/sites/govindicators/doc/HRM.xlsx" xr:uid="{C6CCA94D-6E26-B74D-B716-FCD77F4FD690}"/>
    <hyperlink ref="A20" r:id="rId19" display="https://www.worldbank.org/content/dam/sites/govindicators/doc/IFD.xlsx" xr:uid="{1D00BFFB-659E-B34D-A766-DA99DE1000F6}"/>
    <hyperlink ref="A21" r:id="rId20" display="https://www.worldbank.org/content/dam/sites/govindicators/doc/WMO.xlsx" xr:uid="{B8881618-36AC-8645-9ABD-35ED66C6B9CE}"/>
    <hyperlink ref="A22" r:id="rId21" display="https://www.worldbank.org/content/dam/sites/govindicators/doc/IJT.xlsx" xr:uid="{53120438-68EB-B742-ACCC-BB2495FC9F28}"/>
    <hyperlink ref="A23" r:id="rId22" display="https://www.worldbank.org/content/dam/sites/govindicators/doc/WCY.xlsx" xr:uid="{4F755A46-AC6E-264D-ABC4-BA2DCD663752}"/>
    <hyperlink ref="A24" r:id="rId23" display="https://www.worldbank.org/content/dam/sites/govindicators/doc/IPD.xlsx" xr:uid="{B5628E8F-7FF1-7542-BF8F-4EBB96961EA0}"/>
    <hyperlink ref="A25" r:id="rId24" display="https://www.worldbank.org/content/dam/sites/govindicators/doc/MSI.xlsx" xr:uid="{81248089-C74E-4041-9A80-CCF3D4AA2347}"/>
    <hyperlink ref="A26" r:id="rId25" display="https://www.worldbank.org/content/dam/sites/govindicators/doc/OBI.xlsx" xr:uid="{20C9A0C9-396A-7340-8097-FB4665943751}"/>
    <hyperlink ref="A27" r:id="rId26" display="https://www.worldbank.org/content/dam/sites/govindicators/doc/LBO.xlsx" xr:uid="{810E48B9-6C09-6A4D-B904-BBEAC42D1D8B}"/>
    <hyperlink ref="A28" r:id="rId27" display="https://www.worldbank.org/content/dam/sites/govindicators/doc/PRC.xlsx" xr:uid="{E711BC0B-5B53-BC42-AE13-F7831F7EFBD9}"/>
    <hyperlink ref="A29" r:id="rId28" display="https://www.worldbank.org/content/dam/sites/govindicators/doc/PRS.xlsx" xr:uid="{590C3DAB-68A9-C04A-9115-A2B6677311FC}"/>
    <hyperlink ref="A30" r:id="rId29" display="https://www.worldbank.org/content/dam/sites/govindicators/doc/RSF.xlsx" xr:uid="{000CEF9A-1FCE-8442-B985-EF1D4EADE15E}"/>
    <hyperlink ref="A31" r:id="rId30" display="https://www.worldbank.org/content/dam/sites/govindicators/doc/TPR.xlsx" xr:uid="{2B30C1A7-1830-5C4C-807F-84E195862021}"/>
    <hyperlink ref="A32" r:id="rId31" display="https://www.worldbank.org/content/dam/sites/govindicators/doc/VAB.xlsx" xr:uid="{11CE4E1D-1A74-6F4E-9E33-66412A5721DF}"/>
    <hyperlink ref="A33" r:id="rId32" display="https://www.worldbank.org/content/dam/sites/govindicators/doc/VDM.xlsx" xr:uid="{286BE927-BB01-E04D-A43A-919032D39A14}"/>
    <hyperlink ref="A34" r:id="rId33" display="https://www.worldbank.org/content/dam/sites/govindicators/doc/PIA.xlsx" xr:uid="{C643D02C-60AF-2843-AA30-708F127798C5}"/>
    <hyperlink ref="A35" r:id="rId34" display="https://www.worldbank.org/content/dam/sites/govindicators/doc/WJP.xlsx" xr:uid="{AFED775B-BD43-6045-96DE-8E860789926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6D685-8363-E546-B011-F66F2A7D0979}">
  <dimension ref="A1:M51"/>
  <sheetViews>
    <sheetView topLeftCell="I15" zoomScale="94" workbookViewId="0">
      <selection activeCell="AB29" sqref="AB29"/>
    </sheetView>
  </sheetViews>
  <sheetFormatPr baseColWidth="10" defaultRowHeight="16" x14ac:dyDescent="0.2"/>
  <cols>
    <col min="1" max="2" width="13" bestFit="1" customWidth="1"/>
  </cols>
  <sheetData>
    <row r="1" spans="1:13" x14ac:dyDescent="0.2">
      <c r="A1" t="s">
        <v>55</v>
      </c>
    </row>
    <row r="2" spans="1:13" x14ac:dyDescent="0.2">
      <c r="A2" t="s">
        <v>87</v>
      </c>
      <c r="B2" t="s">
        <v>88</v>
      </c>
      <c r="C2" t="s">
        <v>89</v>
      </c>
      <c r="D2" t="s">
        <v>90</v>
      </c>
      <c r="E2" t="s">
        <v>91</v>
      </c>
      <c r="F2" t="s">
        <v>92</v>
      </c>
      <c r="G2" t="s">
        <v>93</v>
      </c>
      <c r="H2" t="s">
        <v>94</v>
      </c>
      <c r="I2" t="s">
        <v>95</v>
      </c>
      <c r="J2" t="s">
        <v>96</v>
      </c>
      <c r="K2" t="s">
        <v>97</v>
      </c>
      <c r="L2" t="s">
        <v>98</v>
      </c>
      <c r="M2" t="s">
        <v>99</v>
      </c>
    </row>
    <row r="3" spans="1:13" x14ac:dyDescent="0.2">
      <c r="A3" s="21" t="s">
        <v>100</v>
      </c>
      <c r="B3" s="21" t="s">
        <v>101</v>
      </c>
      <c r="C3" s="19">
        <v>0.33342334820213809</v>
      </c>
      <c r="D3" s="19">
        <v>0.32835256488095244</v>
      </c>
      <c r="E3" s="19">
        <v>0.39203169047619052</v>
      </c>
      <c r="F3" s="19">
        <v>0.40417294842857149</v>
      </c>
      <c r="G3" s="19">
        <v>0.36399773188095236</v>
      </c>
      <c r="H3" s="19">
        <v>0.34415666190476191</v>
      </c>
      <c r="I3" s="19">
        <v>0.32030293295354817</v>
      </c>
      <c r="J3" s="19">
        <v>0.28196583523321134</v>
      </c>
      <c r="K3" s="19">
        <v>0.23689552831257502</v>
      </c>
      <c r="L3" s="19">
        <v>0.2604947619047619</v>
      </c>
      <c r="M3" s="19">
        <v>0.24488530714285717</v>
      </c>
    </row>
    <row r="4" spans="1:13" x14ac:dyDescent="0.2">
      <c r="A4" s="21" t="s">
        <v>102</v>
      </c>
      <c r="B4" s="21" t="s">
        <v>103</v>
      </c>
      <c r="C4" s="19">
        <v>0.2627821491596638</v>
      </c>
      <c r="D4" s="19">
        <v>0.27680006480952379</v>
      </c>
      <c r="E4" s="19">
        <v>0.28377816666666666</v>
      </c>
      <c r="F4" s="19">
        <v>0.22564147197619047</v>
      </c>
      <c r="G4" s="19" t="e">
        <v>#N/A</v>
      </c>
      <c r="H4" s="19" t="e">
        <v>#N/A</v>
      </c>
      <c r="I4" s="19">
        <v>0.21378588020574082</v>
      </c>
      <c r="J4" s="19">
        <v>0.25496758205973968</v>
      </c>
      <c r="K4" s="19">
        <v>0.31406624465800015</v>
      </c>
      <c r="L4" s="19">
        <v>0.29439000000000004</v>
      </c>
      <c r="M4" s="19">
        <v>0.26188135952380948</v>
      </c>
    </row>
    <row r="5" spans="1:13" x14ac:dyDescent="0.2">
      <c r="A5" s="21" t="s">
        <v>104</v>
      </c>
      <c r="B5" s="21" t="s">
        <v>105</v>
      </c>
      <c r="C5" s="19">
        <v>0.39167473123352664</v>
      </c>
      <c r="D5" s="19">
        <v>0.37838933295238103</v>
      </c>
      <c r="E5" s="19">
        <v>0.33233773809523809</v>
      </c>
      <c r="F5" s="19">
        <v>0.26902099447619043</v>
      </c>
      <c r="G5" s="19">
        <v>0.25348422359523809</v>
      </c>
      <c r="H5" s="19">
        <v>0.26124348809523812</v>
      </c>
      <c r="I5" s="19">
        <v>0.3069992398000671</v>
      </c>
      <c r="J5" s="19">
        <v>0.23798732702342332</v>
      </c>
      <c r="K5" s="19">
        <v>0.32829708498887472</v>
      </c>
      <c r="L5" s="19">
        <v>0.36830095238095234</v>
      </c>
      <c r="M5" s="19">
        <v>0.42174196666666663</v>
      </c>
    </row>
    <row r="6" spans="1:13" x14ac:dyDescent="0.2">
      <c r="A6" s="21" t="s">
        <v>106</v>
      </c>
      <c r="B6" s="21" t="s">
        <v>107</v>
      </c>
      <c r="C6" s="19">
        <v>0.64847755476190483</v>
      </c>
      <c r="D6" s="19">
        <v>0.65705662111904772</v>
      </c>
      <c r="E6" s="19">
        <v>0.68043621428571421</v>
      </c>
      <c r="F6" s="19">
        <v>0.71935394264285712</v>
      </c>
      <c r="G6" s="19">
        <v>0.69425433021428573</v>
      </c>
      <c r="H6" s="19">
        <v>0.68773717380952382</v>
      </c>
      <c r="I6" s="19">
        <v>0.64413825177117257</v>
      </c>
      <c r="J6" s="19">
        <v>0.63998780484811302</v>
      </c>
      <c r="K6" s="19">
        <v>0.70797038266042756</v>
      </c>
      <c r="L6" s="19">
        <v>0.72310476190476192</v>
      </c>
      <c r="M6" s="19">
        <v>0.72098947619047604</v>
      </c>
    </row>
    <row r="7" spans="1:13" x14ac:dyDescent="0.2">
      <c r="A7" s="21" t="s">
        <v>108</v>
      </c>
      <c r="B7" s="21" t="s">
        <v>109</v>
      </c>
      <c r="C7" s="19">
        <v>0.43207494566453458</v>
      </c>
      <c r="D7" s="19">
        <v>0.4265871218333333</v>
      </c>
      <c r="E7" s="19">
        <v>0.38692030952380957</v>
      </c>
      <c r="F7" s="19">
        <v>0.3672794132142857</v>
      </c>
      <c r="G7" s="19">
        <v>0.32637530002380949</v>
      </c>
      <c r="H7" s="19">
        <v>0.30195145714285715</v>
      </c>
      <c r="I7" s="19">
        <v>0.34652355951628649</v>
      </c>
      <c r="J7" s="19">
        <v>0.33996451429662539</v>
      </c>
      <c r="K7" s="19">
        <v>0.32282704400616119</v>
      </c>
      <c r="L7" s="19">
        <v>0.34192904761904763</v>
      </c>
      <c r="M7" s="19">
        <v>0.34305527857142859</v>
      </c>
    </row>
    <row r="8" spans="1:13" x14ac:dyDescent="0.2">
      <c r="A8" s="21" t="s">
        <v>110</v>
      </c>
      <c r="B8" s="21" t="s">
        <v>111</v>
      </c>
      <c r="C8" s="19">
        <v>0.36857641888053477</v>
      </c>
      <c r="D8" s="19">
        <v>0.36949788957142859</v>
      </c>
      <c r="E8" s="19">
        <v>0.36877623809523813</v>
      </c>
      <c r="F8" s="19">
        <v>0.35307940700000007</v>
      </c>
      <c r="G8" s="19">
        <v>0.30204282773809527</v>
      </c>
      <c r="H8" s="19">
        <v>0.29180778571428573</v>
      </c>
      <c r="I8" s="19">
        <v>0.35293016090070201</v>
      </c>
      <c r="J8" s="19">
        <v>0.41292090792512914</v>
      </c>
      <c r="K8" s="19" t="e">
        <v>#N/A</v>
      </c>
      <c r="L8" s="19">
        <v>0.47021880952380951</v>
      </c>
      <c r="M8" s="19">
        <v>0.35448690476190475</v>
      </c>
    </row>
    <row r="9" spans="1:13" x14ac:dyDescent="0.2">
      <c r="A9" s="21" t="s">
        <v>112</v>
      </c>
      <c r="B9" s="21" t="s">
        <v>113</v>
      </c>
      <c r="C9" s="19">
        <v>0.38819365889724317</v>
      </c>
      <c r="D9" s="19">
        <v>0.38421035947619053</v>
      </c>
      <c r="E9" s="19">
        <v>0.35772461904761904</v>
      </c>
      <c r="F9" s="19">
        <v>0.30777140178571427</v>
      </c>
      <c r="G9" s="19">
        <v>0.27836121830952382</v>
      </c>
      <c r="H9" s="19">
        <v>0.29218515476190482</v>
      </c>
      <c r="I9" s="19">
        <v>0.40481900698742568</v>
      </c>
      <c r="J9" s="19">
        <v>0.4128572601855951</v>
      </c>
      <c r="K9" s="19">
        <v>0.38322222865278849</v>
      </c>
      <c r="L9" s="19">
        <v>0.40483428571428576</v>
      </c>
      <c r="M9" s="19">
        <v>0.36502034761904756</v>
      </c>
    </row>
    <row r="10" spans="1:13" x14ac:dyDescent="0.2">
      <c r="A10" s="21" t="s">
        <v>114</v>
      </c>
      <c r="B10" s="21" t="s">
        <v>115</v>
      </c>
      <c r="C10" s="19">
        <v>0.27016924482401666</v>
      </c>
      <c r="D10" s="19">
        <v>0.29352546304761906</v>
      </c>
      <c r="E10" s="19">
        <v>0.29971623809523812</v>
      </c>
      <c r="F10" s="19">
        <v>0.23577190297619047</v>
      </c>
      <c r="G10" s="19">
        <v>0.23664665504761903</v>
      </c>
      <c r="H10" s="19">
        <v>0.2362631857142857</v>
      </c>
      <c r="I10" s="19">
        <v>0.26163697532118585</v>
      </c>
      <c r="J10" s="19">
        <v>0.24487293999044812</v>
      </c>
      <c r="K10" s="19">
        <v>0.21810581461864845</v>
      </c>
      <c r="L10" s="19">
        <v>0.23271952380952382</v>
      </c>
      <c r="M10" s="19">
        <v>0.27853831666666667</v>
      </c>
    </row>
    <row r="11" spans="1:13" x14ac:dyDescent="0.2">
      <c r="A11" s="21" t="s">
        <v>116</v>
      </c>
      <c r="B11" s="21" t="s">
        <v>117</v>
      </c>
      <c r="C11" s="19">
        <v>0.7687768908163265</v>
      </c>
      <c r="D11" s="19">
        <v>0.78844819754761897</v>
      </c>
      <c r="E11" s="19">
        <v>0.74775504761904765</v>
      </c>
      <c r="F11" s="19">
        <v>0.69528411685714275</v>
      </c>
      <c r="G11" s="19">
        <v>0.6676075345000001</v>
      </c>
      <c r="H11" s="19">
        <v>0.67239035952380966</v>
      </c>
      <c r="I11" s="19">
        <v>0.71541566071485363</v>
      </c>
      <c r="J11" s="19">
        <v>0.71434728362889877</v>
      </c>
      <c r="K11" s="19">
        <v>0.72981498172617021</v>
      </c>
      <c r="L11" s="19">
        <v>0.72693738095238103</v>
      </c>
      <c r="M11" s="19">
        <v>0.70363645238095229</v>
      </c>
    </row>
    <row r="12" spans="1:13" x14ac:dyDescent="0.2">
      <c r="A12" s="21" t="s">
        <v>118</v>
      </c>
      <c r="B12" s="21" t="s">
        <v>119</v>
      </c>
      <c r="C12" s="19">
        <v>0.19427456997471548</v>
      </c>
      <c r="D12" s="19">
        <v>0.18951452061904761</v>
      </c>
      <c r="E12" s="19">
        <v>0.21705111904761906</v>
      </c>
      <c r="F12" s="19">
        <v>0.20691788530555558</v>
      </c>
      <c r="G12" s="19">
        <v>0.17215870392857141</v>
      </c>
      <c r="H12" s="19">
        <v>0.17253812857142856</v>
      </c>
      <c r="I12" s="19">
        <v>0.18701972129187999</v>
      </c>
      <c r="J12" s="19">
        <v>0.20317732581883524</v>
      </c>
      <c r="K12" s="19">
        <v>0.15397809194801676</v>
      </c>
      <c r="L12" s="19">
        <v>0.20389357142857145</v>
      </c>
      <c r="M12" s="19">
        <v>0.20165929523809528</v>
      </c>
    </row>
    <row r="14" spans="1:13" x14ac:dyDescent="0.2">
      <c r="A14" t="s">
        <v>14</v>
      </c>
    </row>
    <row r="15" spans="1:13" x14ac:dyDescent="0.2">
      <c r="A15" t="s">
        <v>120</v>
      </c>
      <c r="B15" t="s">
        <v>121</v>
      </c>
      <c r="C15" t="s">
        <v>122</v>
      </c>
      <c r="D15" t="s">
        <v>123</v>
      </c>
      <c r="E15" t="s">
        <v>124</v>
      </c>
      <c r="F15" t="s">
        <v>125</v>
      </c>
      <c r="G15" t="s">
        <v>126</v>
      </c>
      <c r="H15" t="s">
        <v>127</v>
      </c>
      <c r="I15" t="s">
        <v>128</v>
      </c>
      <c r="J15" t="s">
        <v>129</v>
      </c>
      <c r="K15" t="s">
        <v>130</v>
      </c>
      <c r="L15" t="s">
        <v>131</v>
      </c>
      <c r="M15" t="s">
        <v>132</v>
      </c>
    </row>
    <row r="16" spans="1:13" x14ac:dyDescent="0.2">
      <c r="A16" s="21" t="s">
        <v>101</v>
      </c>
      <c r="B16" s="21" t="s">
        <v>100</v>
      </c>
      <c r="C16" s="22">
        <v>0.5</v>
      </c>
      <c r="D16" s="22">
        <v>0.5</v>
      </c>
      <c r="E16" s="22">
        <v>0.5</v>
      </c>
      <c r="F16" s="22">
        <v>0.5</v>
      </c>
      <c r="G16" s="22">
        <v>0.5</v>
      </c>
      <c r="H16" s="22">
        <v>0.5</v>
      </c>
      <c r="I16" s="22">
        <v>0.5</v>
      </c>
      <c r="J16" s="22">
        <v>0.25</v>
      </c>
      <c r="K16" s="22">
        <v>0.25</v>
      </c>
      <c r="L16" s="22">
        <v>0.25</v>
      </c>
      <c r="M16" s="22">
        <v>0.25</v>
      </c>
    </row>
    <row r="17" spans="1:13" x14ac:dyDescent="0.2">
      <c r="A17" s="21" t="s">
        <v>103</v>
      </c>
      <c r="B17" s="21" t="s">
        <v>102</v>
      </c>
      <c r="C17" s="22">
        <v>0.25</v>
      </c>
      <c r="D17" s="22">
        <v>0.25</v>
      </c>
      <c r="E17" s="22">
        <v>0.25</v>
      </c>
      <c r="F17" s="22">
        <v>0.25</v>
      </c>
      <c r="G17" s="22">
        <v>0.25</v>
      </c>
      <c r="H17" s="22">
        <v>0.25</v>
      </c>
      <c r="I17" s="22">
        <v>0.25</v>
      </c>
      <c r="J17" s="22">
        <v>0.25</v>
      </c>
      <c r="K17" s="22">
        <v>0.25</v>
      </c>
      <c r="L17" s="22">
        <v>0.25</v>
      </c>
      <c r="M17" s="22">
        <v>0.25</v>
      </c>
    </row>
    <row r="18" spans="1:13" x14ac:dyDescent="0.2">
      <c r="A18" s="21" t="s">
        <v>105</v>
      </c>
      <c r="B18" s="21" t="s">
        <v>104</v>
      </c>
      <c r="C18" s="22">
        <v>0.25</v>
      </c>
      <c r="D18" s="22">
        <v>0.25</v>
      </c>
      <c r="E18" s="22">
        <v>0.25</v>
      </c>
      <c r="F18" s="22">
        <v>0.25</v>
      </c>
      <c r="G18" s="22">
        <v>0.25</v>
      </c>
      <c r="H18" s="22">
        <v>0.25</v>
      </c>
      <c r="I18" s="22">
        <v>0.25</v>
      </c>
      <c r="J18" s="22">
        <v>0.25</v>
      </c>
      <c r="K18" s="22">
        <v>0.25</v>
      </c>
      <c r="L18" s="22">
        <v>0.25</v>
      </c>
      <c r="M18" s="22">
        <v>0.25</v>
      </c>
    </row>
    <row r="19" spans="1:13" x14ac:dyDescent="0.2">
      <c r="A19" s="21" t="s">
        <v>107</v>
      </c>
      <c r="B19" s="21" t="s">
        <v>106</v>
      </c>
      <c r="C19" s="22">
        <v>0.75</v>
      </c>
      <c r="D19" s="22">
        <v>0.75</v>
      </c>
      <c r="E19" s="22">
        <v>0.75</v>
      </c>
      <c r="F19" s="22">
        <v>0.75</v>
      </c>
      <c r="G19" s="22">
        <v>0.75</v>
      </c>
      <c r="H19" s="22">
        <v>0.75</v>
      </c>
      <c r="I19" s="22">
        <v>0.75</v>
      </c>
      <c r="J19" s="22">
        <v>0.75</v>
      </c>
      <c r="K19" s="22">
        <v>0.75</v>
      </c>
      <c r="L19" s="22">
        <v>0.75</v>
      </c>
      <c r="M19" s="22">
        <v>0.75</v>
      </c>
    </row>
    <row r="20" spans="1:13" x14ac:dyDescent="0.2">
      <c r="A20" s="21" t="s">
        <v>109</v>
      </c>
      <c r="B20" s="21" t="s">
        <v>108</v>
      </c>
      <c r="C20" s="22">
        <v>0.5</v>
      </c>
      <c r="D20" s="22">
        <v>0.5</v>
      </c>
      <c r="E20" s="22">
        <v>0.5</v>
      </c>
      <c r="F20" s="22">
        <v>0.5</v>
      </c>
      <c r="G20" s="22">
        <v>0.5</v>
      </c>
      <c r="H20" s="22">
        <v>0.5</v>
      </c>
      <c r="I20" s="22">
        <v>0.5</v>
      </c>
      <c r="J20" s="22">
        <v>0.5</v>
      </c>
      <c r="K20" s="22">
        <v>0.25</v>
      </c>
      <c r="L20" s="22">
        <v>0.25</v>
      </c>
      <c r="M20" s="22">
        <v>0.25</v>
      </c>
    </row>
    <row r="21" spans="1:13" x14ac:dyDescent="0.2">
      <c r="A21" s="21" t="s">
        <v>111</v>
      </c>
      <c r="B21" s="21" t="s">
        <v>110</v>
      </c>
      <c r="C21" s="22">
        <v>0.25</v>
      </c>
      <c r="D21" s="22">
        <v>0.25</v>
      </c>
      <c r="E21" s="22">
        <v>0.25</v>
      </c>
      <c r="F21" s="22">
        <v>0.25</v>
      </c>
      <c r="G21" s="22">
        <v>0.25</v>
      </c>
      <c r="H21" s="22">
        <v>0.25</v>
      </c>
      <c r="I21" s="22">
        <v>0.25</v>
      </c>
      <c r="J21" s="22">
        <v>0.25</v>
      </c>
      <c r="K21" s="22">
        <v>0</v>
      </c>
      <c r="L21" s="22">
        <v>0</v>
      </c>
      <c r="M21" s="22">
        <v>0</v>
      </c>
    </row>
    <row r="22" spans="1:13" x14ac:dyDescent="0.2">
      <c r="A22" s="21" t="s">
        <v>113</v>
      </c>
      <c r="B22" s="21" t="s">
        <v>112</v>
      </c>
      <c r="C22" s="22">
        <v>0.25</v>
      </c>
      <c r="D22" s="22">
        <v>0.25</v>
      </c>
      <c r="E22" s="22">
        <v>0.25</v>
      </c>
      <c r="F22" s="22">
        <v>0.25</v>
      </c>
      <c r="G22" s="22">
        <v>0.25</v>
      </c>
      <c r="H22" s="22">
        <v>0.25</v>
      </c>
      <c r="I22" s="22">
        <v>0.25</v>
      </c>
      <c r="J22" s="22">
        <v>0.25</v>
      </c>
      <c r="K22" s="22">
        <v>0.25</v>
      </c>
      <c r="L22" s="22">
        <v>0.25</v>
      </c>
      <c r="M22" s="22">
        <v>0.25</v>
      </c>
    </row>
    <row r="23" spans="1:13" x14ac:dyDescent="0.2">
      <c r="A23" s="21" t="s">
        <v>115</v>
      </c>
      <c r="B23" s="21" t="s">
        <v>114</v>
      </c>
      <c r="C23" s="22">
        <v>0.25</v>
      </c>
      <c r="D23" s="22">
        <v>0.25</v>
      </c>
      <c r="E23" s="22">
        <v>0.25</v>
      </c>
      <c r="F23" s="22">
        <v>0.25</v>
      </c>
      <c r="G23" s="22">
        <v>0.25</v>
      </c>
      <c r="H23" s="22">
        <v>0.25</v>
      </c>
      <c r="I23" s="22">
        <v>0.25</v>
      </c>
      <c r="J23" s="22">
        <v>0</v>
      </c>
      <c r="K23" s="22">
        <v>0</v>
      </c>
      <c r="L23" s="22">
        <v>0</v>
      </c>
      <c r="M23" s="22">
        <v>0.25</v>
      </c>
    </row>
    <row r="24" spans="1:13" x14ac:dyDescent="0.2">
      <c r="A24" s="21" t="s">
        <v>117</v>
      </c>
      <c r="B24" s="21" t="s">
        <v>116</v>
      </c>
      <c r="C24" s="22">
        <v>1</v>
      </c>
      <c r="D24" s="22">
        <v>1</v>
      </c>
      <c r="E24" s="22">
        <v>0.75</v>
      </c>
      <c r="F24" s="22">
        <v>0.75</v>
      </c>
      <c r="G24" s="22">
        <v>0.75</v>
      </c>
      <c r="H24" s="22">
        <v>0.75</v>
      </c>
      <c r="I24" s="22">
        <v>0.75</v>
      </c>
      <c r="J24" s="22">
        <v>0.75</v>
      </c>
      <c r="K24" s="22">
        <v>0.75</v>
      </c>
      <c r="L24" s="22">
        <v>0.75</v>
      </c>
      <c r="M24" s="22">
        <v>0.75</v>
      </c>
    </row>
    <row r="25" spans="1:13" x14ac:dyDescent="0.2">
      <c r="A25" s="21" t="s">
        <v>119</v>
      </c>
      <c r="B25" s="21" t="s">
        <v>118</v>
      </c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</row>
    <row r="27" spans="1:13" x14ac:dyDescent="0.2">
      <c r="A27" t="s">
        <v>69</v>
      </c>
    </row>
    <row r="28" spans="1:13" x14ac:dyDescent="0.2">
      <c r="A28" t="s">
        <v>88</v>
      </c>
      <c r="B28" t="s">
        <v>87</v>
      </c>
      <c r="C28" s="23" t="s">
        <v>133</v>
      </c>
      <c r="D28" s="23" t="s">
        <v>134</v>
      </c>
      <c r="E28" s="23" t="s">
        <v>135</v>
      </c>
      <c r="G28" s="23" t="s">
        <v>136</v>
      </c>
      <c r="H28" s="23" t="s">
        <v>137</v>
      </c>
      <c r="I28" s="23" t="s">
        <v>138</v>
      </c>
      <c r="K28" s="23" t="s">
        <v>139</v>
      </c>
      <c r="L28" s="23" t="s">
        <v>141</v>
      </c>
      <c r="M28" s="23" t="s">
        <v>140</v>
      </c>
    </row>
    <row r="29" spans="1:13" x14ac:dyDescent="0.2">
      <c r="A29" s="21" t="s">
        <v>101</v>
      </c>
      <c r="B29" s="21" t="s">
        <v>100</v>
      </c>
      <c r="C29" s="19">
        <v>0.45949794482318829</v>
      </c>
      <c r="D29" s="20">
        <v>0.48313224841821434</v>
      </c>
      <c r="E29" s="20">
        <v>0.51706282335453058</v>
      </c>
      <c r="G29" s="20">
        <v>0.52166659352399269</v>
      </c>
      <c r="H29" s="20">
        <v>0.52068475125640501</v>
      </c>
      <c r="I29" s="20">
        <v>0.50537304972334884</v>
      </c>
      <c r="K29" s="20">
        <v>0.47875708431202757</v>
      </c>
      <c r="L29" s="20">
        <v>0.49228338645105035</v>
      </c>
      <c r="M29" s="20">
        <v>0.47472964193846551</v>
      </c>
    </row>
    <row r="30" spans="1:13" x14ac:dyDescent="0.2">
      <c r="A30" t="s">
        <v>103</v>
      </c>
      <c r="B30" t="s">
        <v>102</v>
      </c>
      <c r="C30" s="20">
        <v>0.24658332496621979</v>
      </c>
      <c r="D30" s="20">
        <v>0.27278409649008939</v>
      </c>
      <c r="E30" s="20">
        <v>0.26541993027355942</v>
      </c>
      <c r="G30" s="20">
        <v>0.26193356835387255</v>
      </c>
      <c r="H30" s="20">
        <v>0.36491251379148709</v>
      </c>
      <c r="I30" s="20">
        <v>0.28997585279498472</v>
      </c>
      <c r="K30" s="20">
        <v>0.33553128476563976</v>
      </c>
      <c r="L30" s="20">
        <v>0.3210050003472889</v>
      </c>
      <c r="M30" s="20">
        <v>0.24491313563896622</v>
      </c>
    </row>
    <row r="31" spans="1:13" x14ac:dyDescent="0.2">
      <c r="A31" t="s">
        <v>105</v>
      </c>
      <c r="B31" t="s">
        <v>104</v>
      </c>
      <c r="C31" s="20">
        <v>0.43232170158915129</v>
      </c>
      <c r="D31" s="20">
        <v>0.4348255968239147</v>
      </c>
      <c r="E31" s="20">
        <v>0.44668808733159504</v>
      </c>
      <c r="G31" s="20">
        <v>0.4546344791309207</v>
      </c>
      <c r="H31" s="20">
        <v>0.47458824677179728</v>
      </c>
      <c r="I31" s="20">
        <v>0.45467966112864983</v>
      </c>
      <c r="K31" s="20">
        <v>0.46009866088566137</v>
      </c>
      <c r="L31" s="20">
        <v>0.49654153047933952</v>
      </c>
      <c r="M31" s="20">
        <v>0.52272198229524558</v>
      </c>
    </row>
    <row r="32" spans="1:13" x14ac:dyDescent="0.2">
      <c r="A32" t="s">
        <v>107</v>
      </c>
      <c r="B32" t="s">
        <v>106</v>
      </c>
      <c r="C32" s="20">
        <v>0.6894562460030732</v>
      </c>
      <c r="D32" s="20">
        <v>0.690003219701947</v>
      </c>
      <c r="E32" s="20">
        <v>0.69031669534147722</v>
      </c>
      <c r="G32" s="20">
        <v>0.69597205034777265</v>
      </c>
      <c r="H32" s="20">
        <v>0.64865239434071931</v>
      </c>
      <c r="I32" s="20">
        <v>0.69981518751564831</v>
      </c>
      <c r="K32" s="20">
        <v>0.71682206138316573</v>
      </c>
      <c r="L32" s="20">
        <v>0.72975919734609607</v>
      </c>
      <c r="M32" s="20">
        <v>0.73892087352757718</v>
      </c>
    </row>
    <row r="33" spans="1:13" x14ac:dyDescent="0.2">
      <c r="A33" t="s">
        <v>109</v>
      </c>
      <c r="B33" t="s">
        <v>108</v>
      </c>
      <c r="C33" s="20">
        <v>0.38037224571583933</v>
      </c>
      <c r="D33" s="20">
        <v>0.3907763289753225</v>
      </c>
      <c r="E33" s="20">
        <v>0.38601423360028736</v>
      </c>
      <c r="G33" s="20">
        <v>0.384214154253121</v>
      </c>
      <c r="H33" s="20">
        <v>0.43642559028413547</v>
      </c>
      <c r="I33" s="20">
        <v>0.40759439318056651</v>
      </c>
      <c r="K33" s="20">
        <v>0.4260958019730724</v>
      </c>
      <c r="L33" s="20">
        <v>0.43027877164859352</v>
      </c>
      <c r="M33" s="20">
        <v>0.43734033044426857</v>
      </c>
    </row>
    <row r="34" spans="1:13" x14ac:dyDescent="0.2">
      <c r="A34" t="s">
        <v>111</v>
      </c>
      <c r="B34" t="s">
        <v>110</v>
      </c>
      <c r="C34" s="20">
        <v>0.40519510430181982</v>
      </c>
      <c r="D34" s="20">
        <v>0.40854741891657465</v>
      </c>
      <c r="E34" s="20">
        <v>0.41890847327931369</v>
      </c>
      <c r="G34" s="20">
        <v>0.40514157445273752</v>
      </c>
      <c r="H34" s="20">
        <v>0.47003222571357622</v>
      </c>
      <c r="I34" s="20">
        <v>0.41902788806961011</v>
      </c>
      <c r="K34" s="20">
        <v>0.44897274669228926</v>
      </c>
      <c r="L34" s="20">
        <v>0.46645923120116567</v>
      </c>
      <c r="M34" s="20">
        <v>0.46545520862471251</v>
      </c>
    </row>
    <row r="35" spans="1:13" x14ac:dyDescent="0.2">
      <c r="A35" t="s">
        <v>115</v>
      </c>
      <c r="B35" t="s">
        <v>114</v>
      </c>
      <c r="C35" s="20">
        <v>0.30516177419848101</v>
      </c>
      <c r="D35" s="20">
        <v>0.3002626563745755</v>
      </c>
    </row>
    <row r="36" spans="1:13" x14ac:dyDescent="0.2">
      <c r="A36" t="s">
        <v>113</v>
      </c>
      <c r="B36" t="s">
        <v>112</v>
      </c>
      <c r="C36" s="20">
        <v>0.32743170183732406</v>
      </c>
      <c r="D36" s="20">
        <v>0.32027599105562476</v>
      </c>
      <c r="E36" s="20">
        <v>0.33014679795954727</v>
      </c>
      <c r="G36" s="20">
        <v>0.33379228555706603</v>
      </c>
      <c r="H36" s="20">
        <v>0.45653690394509966</v>
      </c>
      <c r="I36" s="20">
        <v>0.35598266867186984</v>
      </c>
      <c r="K36" s="20">
        <v>0.34279386996614819</v>
      </c>
      <c r="L36" s="20">
        <v>0.35904326394301972</v>
      </c>
      <c r="M36" s="20">
        <v>0.36581714112954072</v>
      </c>
    </row>
    <row r="37" spans="1:13" x14ac:dyDescent="0.2">
      <c r="A37" t="s">
        <v>117</v>
      </c>
      <c r="B37" t="s">
        <v>116</v>
      </c>
      <c r="C37" s="20">
        <v>0.73676390369047806</v>
      </c>
      <c r="D37" s="20">
        <v>0.72924970586359983</v>
      </c>
      <c r="E37" s="20">
        <v>0.72944979653839026</v>
      </c>
      <c r="G37" s="20">
        <v>0.74012694633700138</v>
      </c>
      <c r="H37" s="20">
        <v>0.65768224789591623</v>
      </c>
      <c r="I37" s="20">
        <v>0.76532964423775129</v>
      </c>
      <c r="K37" s="20">
        <v>0.781099570445563</v>
      </c>
      <c r="L37" s="20">
        <v>0.7835450923617574</v>
      </c>
      <c r="M37" s="20">
        <v>0.77653308683528177</v>
      </c>
    </row>
    <row r="38" spans="1:13" x14ac:dyDescent="0.2">
      <c r="A38" t="s">
        <v>119</v>
      </c>
      <c r="B38" t="s">
        <v>118</v>
      </c>
      <c r="C38" s="20">
        <v>0.27506415712181675</v>
      </c>
      <c r="D38" s="20">
        <v>0.29388549456668028</v>
      </c>
      <c r="E38" s="20">
        <v>0.30899726262327754</v>
      </c>
      <c r="G38" s="20">
        <v>0.31746916579071771</v>
      </c>
      <c r="H38" s="20">
        <v>0.22520604739163175</v>
      </c>
      <c r="I38" s="20">
        <v>0.24564941290292597</v>
      </c>
      <c r="K38" s="20">
        <v>0.27390902374749759</v>
      </c>
      <c r="L38" s="20">
        <v>0.29688650758587704</v>
      </c>
      <c r="M38" s="20">
        <v>0.32318642085720856</v>
      </c>
    </row>
    <row r="39" spans="1:13" x14ac:dyDescent="0.2">
      <c r="C39" s="20"/>
      <c r="D39" s="20"/>
      <c r="E39" s="20"/>
      <c r="G39" s="20"/>
      <c r="H39" s="20"/>
      <c r="I39" s="20"/>
      <c r="K39" s="20"/>
      <c r="L39" s="20"/>
      <c r="M39" s="20"/>
    </row>
    <row r="41" spans="1:13" x14ac:dyDescent="0.2">
      <c r="A41" s="33" t="s">
        <v>146</v>
      </c>
      <c r="B41" s="34" t="s">
        <v>147</v>
      </c>
      <c r="C41" s="35">
        <v>2012</v>
      </c>
      <c r="D41" s="35">
        <v>2013</v>
      </c>
      <c r="E41" s="35">
        <v>2014</v>
      </c>
      <c r="F41" s="36">
        <v>2015</v>
      </c>
      <c r="G41" s="36">
        <v>2016</v>
      </c>
      <c r="H41" s="36">
        <v>2017</v>
      </c>
      <c r="I41" s="36">
        <v>2018</v>
      </c>
      <c r="J41" s="36">
        <v>2019</v>
      </c>
      <c r="K41" s="36">
        <v>2020</v>
      </c>
      <c r="L41" s="36">
        <v>2021</v>
      </c>
      <c r="M41" s="36">
        <v>2022</v>
      </c>
    </row>
    <row r="42" spans="1:13" x14ac:dyDescent="0.2">
      <c r="A42" t="s">
        <v>100</v>
      </c>
      <c r="B42" t="s">
        <v>101</v>
      </c>
      <c r="C42" s="20">
        <v>40.284358978271484</v>
      </c>
      <c r="D42" s="20">
        <v>40.758293151855469</v>
      </c>
      <c r="E42" s="20">
        <v>35.576923370361328</v>
      </c>
      <c r="F42" s="20">
        <v>33.809524536132812</v>
      </c>
      <c r="G42" s="20">
        <v>45.714286804199219</v>
      </c>
      <c r="H42" s="20">
        <v>44.285713195800781</v>
      </c>
      <c r="I42" s="20">
        <v>53.809524536132812</v>
      </c>
      <c r="J42" s="20">
        <v>52.857143402099609</v>
      </c>
      <c r="K42" s="20">
        <v>47.619049072265625</v>
      </c>
      <c r="L42" s="20">
        <v>38.095237731933594</v>
      </c>
      <c r="M42" s="20">
        <v>36.320755004882812</v>
      </c>
    </row>
    <row r="43" spans="1:13" x14ac:dyDescent="0.2">
      <c r="A43" t="s">
        <v>102</v>
      </c>
      <c r="B43" t="s">
        <v>103</v>
      </c>
      <c r="C43" s="20">
        <v>27.488151550292969</v>
      </c>
      <c r="D43" s="20">
        <v>35.071090698242188</v>
      </c>
      <c r="E43" s="20">
        <v>30.288461685180664</v>
      </c>
      <c r="F43" s="20">
        <v>26.666666030883789</v>
      </c>
      <c r="G43" s="20">
        <v>24.285715103149414</v>
      </c>
      <c r="H43" s="20">
        <v>26.666666030883789</v>
      </c>
      <c r="I43" s="20">
        <v>27.619047164916992</v>
      </c>
      <c r="J43" s="20">
        <v>25.714284896850586</v>
      </c>
      <c r="K43" s="20">
        <v>22.380952835083008</v>
      </c>
      <c r="L43" s="20">
        <v>20.476190567016602</v>
      </c>
      <c r="M43" s="20">
        <v>20.754716873168945</v>
      </c>
    </row>
    <row r="44" spans="1:13" s="54" customFormat="1" x14ac:dyDescent="0.2">
      <c r="A44" s="54" t="s">
        <v>104</v>
      </c>
      <c r="B44" s="54" t="s">
        <v>105</v>
      </c>
      <c r="C44" s="55">
        <v>56.398105621337891</v>
      </c>
      <c r="D44" s="55">
        <v>54.976303100585938</v>
      </c>
      <c r="E44" s="55">
        <v>44.230770111083984</v>
      </c>
      <c r="F44" s="55">
        <v>40.952381134033203</v>
      </c>
      <c r="G44" s="55">
        <v>39.523811340332031</v>
      </c>
      <c r="H44" s="55">
        <v>35.714286804199219</v>
      </c>
      <c r="I44" s="55">
        <v>38.095237731933594</v>
      </c>
      <c r="J44" s="55">
        <v>40</v>
      </c>
      <c r="K44" s="55">
        <v>37.619049072265625</v>
      </c>
      <c r="L44" s="55">
        <v>34.285713195800781</v>
      </c>
      <c r="M44" s="55">
        <v>32.075469970703125</v>
      </c>
    </row>
    <row r="45" spans="1:13" x14ac:dyDescent="0.2">
      <c r="A45" t="s">
        <v>106</v>
      </c>
      <c r="B45" t="s">
        <v>107</v>
      </c>
      <c r="C45" s="20">
        <v>90.995262145996094</v>
      </c>
      <c r="D45" s="20">
        <v>90.047393798828125</v>
      </c>
      <c r="E45" s="20">
        <v>90.384613037109375</v>
      </c>
      <c r="F45" s="20">
        <v>87.142860412597656</v>
      </c>
      <c r="G45" s="20">
        <v>80.476188659667969</v>
      </c>
      <c r="H45" s="20">
        <v>81.428573608398438</v>
      </c>
      <c r="I45" s="20">
        <v>80.952377319335938</v>
      </c>
      <c r="J45" s="20">
        <v>80.476188659667969</v>
      </c>
      <c r="K45" s="20">
        <v>83.333335876464844</v>
      </c>
      <c r="L45" s="20">
        <v>80.952377319335938</v>
      </c>
      <c r="M45" s="20">
        <v>80.660377502441406</v>
      </c>
    </row>
    <row r="46" spans="1:13" s="54" customFormat="1" x14ac:dyDescent="0.2">
      <c r="A46" s="54" t="s">
        <v>108</v>
      </c>
      <c r="B46" s="54" t="s">
        <v>109</v>
      </c>
      <c r="C46" s="55">
        <v>42.180095672607422</v>
      </c>
      <c r="D46" s="55">
        <v>40.284358978271484</v>
      </c>
      <c r="E46" s="55">
        <v>42.788459777832031</v>
      </c>
      <c r="F46" s="55">
        <v>44.761905670166016</v>
      </c>
      <c r="G46" s="55">
        <v>41.904762268066406</v>
      </c>
      <c r="H46" s="55">
        <v>42.380950927734375</v>
      </c>
      <c r="I46" s="55">
        <v>43.333332061767578</v>
      </c>
      <c r="J46" s="55">
        <v>46.190475463867188</v>
      </c>
      <c r="K46" s="55">
        <v>45.714286804199219</v>
      </c>
      <c r="L46" s="55">
        <v>42.380950927734375</v>
      </c>
      <c r="M46" s="55">
        <v>41.037734985351562</v>
      </c>
    </row>
    <row r="47" spans="1:13" x14ac:dyDescent="0.2">
      <c r="A47" t="s">
        <v>110</v>
      </c>
      <c r="B47" t="s">
        <v>111</v>
      </c>
      <c r="C47" s="20">
        <v>36.966823577880859</v>
      </c>
      <c r="D47" s="20">
        <v>37.440757751464844</v>
      </c>
      <c r="E47" s="20">
        <v>27.403846740722656</v>
      </c>
      <c r="F47" s="20">
        <v>29.047618865966797</v>
      </c>
      <c r="G47" s="20">
        <v>28.571428298950195</v>
      </c>
      <c r="H47" s="20">
        <v>30.952381134033203</v>
      </c>
      <c r="I47" s="20">
        <v>29.523809432983398</v>
      </c>
      <c r="J47" s="20">
        <v>34.761905670166016</v>
      </c>
      <c r="K47" s="20">
        <v>33.809524536132812</v>
      </c>
      <c r="L47" s="20">
        <v>30</v>
      </c>
      <c r="M47" s="20">
        <v>29.716981887817383</v>
      </c>
    </row>
    <row r="48" spans="1:13" x14ac:dyDescent="0.2">
      <c r="A48" t="s">
        <v>112</v>
      </c>
      <c r="B48" t="s">
        <v>113</v>
      </c>
      <c r="C48" s="20">
        <v>43.127960205078125</v>
      </c>
      <c r="D48" s="20">
        <v>39.8104248046875</v>
      </c>
      <c r="E48" s="20">
        <v>31.730770111083984</v>
      </c>
      <c r="F48" s="20">
        <v>31.904762268066406</v>
      </c>
      <c r="G48" s="20">
        <v>40.952381134033203</v>
      </c>
      <c r="H48" s="20">
        <v>35.238094329833984</v>
      </c>
      <c r="I48" s="20">
        <v>31.428571701049805</v>
      </c>
      <c r="J48" s="20">
        <v>34.285713195800781</v>
      </c>
      <c r="K48" s="20">
        <v>32.857143402099609</v>
      </c>
      <c r="L48" s="20">
        <v>28.571428298950195</v>
      </c>
      <c r="M48" s="20">
        <v>22.169811248779297</v>
      </c>
    </row>
    <row r="49" spans="1:13" x14ac:dyDescent="0.2">
      <c r="A49" t="s">
        <v>114</v>
      </c>
      <c r="B49" t="s">
        <v>115</v>
      </c>
      <c r="C49" s="20">
        <v>21.327014923095703</v>
      </c>
      <c r="D49" s="20">
        <v>14.218009948730469</v>
      </c>
      <c r="E49" s="20">
        <v>15.384614944458008</v>
      </c>
      <c r="F49" s="20">
        <v>14.761904716491699</v>
      </c>
      <c r="G49" s="20">
        <v>24.761905670166016</v>
      </c>
      <c r="H49" s="20">
        <v>24.761905670166016</v>
      </c>
      <c r="I49" s="20">
        <v>19.047618865966797</v>
      </c>
      <c r="J49" s="20">
        <v>19.523809432983398</v>
      </c>
      <c r="K49" s="20">
        <v>21.428571701049805</v>
      </c>
      <c r="L49" s="20">
        <v>16.666666030883789</v>
      </c>
      <c r="M49" s="20">
        <v>15.094339370727539</v>
      </c>
    </row>
    <row r="50" spans="1:13" s="54" customFormat="1" x14ac:dyDescent="0.2">
      <c r="A50" s="54" t="s">
        <v>116</v>
      </c>
      <c r="B50" s="54" t="s">
        <v>117</v>
      </c>
      <c r="C50" s="55">
        <v>88.625595092773438</v>
      </c>
      <c r="D50" s="55">
        <v>89.573463439941406</v>
      </c>
      <c r="E50" s="55">
        <v>89.903846740722656</v>
      </c>
      <c r="F50" s="55">
        <v>89.047622680664062</v>
      </c>
      <c r="G50" s="55">
        <v>89.047622680664062</v>
      </c>
      <c r="H50" s="55">
        <v>88.095237731933594</v>
      </c>
      <c r="I50" s="55">
        <v>86.666664123535156</v>
      </c>
      <c r="J50" s="55">
        <v>88.095237731933594</v>
      </c>
      <c r="K50" s="55">
        <v>89.047622680664062</v>
      </c>
      <c r="L50" s="55">
        <v>91.428573608398438</v>
      </c>
      <c r="M50" s="55">
        <v>91.981132507324219</v>
      </c>
    </row>
    <row r="51" spans="1:13" x14ac:dyDescent="0.2">
      <c r="A51" t="s">
        <v>118</v>
      </c>
      <c r="B51" t="s">
        <v>119</v>
      </c>
      <c r="C51" s="20">
        <v>8.0568723678588867</v>
      </c>
      <c r="D51" s="20">
        <v>6.161137580871582</v>
      </c>
      <c r="E51" s="20">
        <v>4.8076925277709961</v>
      </c>
      <c r="F51" s="20">
        <v>4.7619047164916992</v>
      </c>
      <c r="G51" s="20">
        <v>7.1428570747375488</v>
      </c>
      <c r="H51" s="20">
        <v>6.6666665077209473</v>
      </c>
      <c r="I51" s="20">
        <v>4.2857141494750977</v>
      </c>
      <c r="J51" s="20">
        <v>3.8095238208770752</v>
      </c>
      <c r="K51" s="20">
        <v>3.3333332538604736</v>
      </c>
      <c r="L51" s="20">
        <v>1.9047619104385376</v>
      </c>
      <c r="M51" s="20">
        <v>1.8867924213409424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8781F-E45F-7741-9B33-F990489E3C09}">
  <dimension ref="A1:W12"/>
  <sheetViews>
    <sheetView topLeftCell="A17" zoomScale="65" workbookViewId="0">
      <selection activeCell="X44" sqref="X44"/>
    </sheetView>
  </sheetViews>
  <sheetFormatPr baseColWidth="10" defaultRowHeight="16" x14ac:dyDescent="0.2"/>
  <sheetData>
    <row r="1" spans="1:23" x14ac:dyDescent="0.2">
      <c r="A1" s="56"/>
      <c r="B1" s="57"/>
    </row>
    <row r="2" spans="1:23" x14ac:dyDescent="0.2">
      <c r="A2" s="33" t="s">
        <v>146</v>
      </c>
      <c r="B2" s="34" t="s">
        <v>147</v>
      </c>
      <c r="C2" s="35">
        <v>2002</v>
      </c>
      <c r="D2" s="35">
        <v>2003</v>
      </c>
      <c r="E2" s="35">
        <v>2004</v>
      </c>
      <c r="F2" s="35">
        <v>2005</v>
      </c>
      <c r="G2" s="35">
        <v>2006</v>
      </c>
      <c r="H2" s="35">
        <v>2007</v>
      </c>
      <c r="I2" s="35">
        <v>2008</v>
      </c>
      <c r="J2" s="35">
        <v>2009</v>
      </c>
      <c r="K2" s="35">
        <v>2010</v>
      </c>
      <c r="L2" s="35">
        <v>2011</v>
      </c>
      <c r="M2" s="35">
        <v>2012</v>
      </c>
      <c r="N2" s="35">
        <v>2013</v>
      </c>
      <c r="O2" s="35">
        <v>2014</v>
      </c>
      <c r="P2" s="36">
        <v>2015</v>
      </c>
      <c r="Q2" s="36">
        <v>2016</v>
      </c>
      <c r="R2" s="36">
        <v>2017</v>
      </c>
      <c r="S2" s="36">
        <v>2018</v>
      </c>
      <c r="T2" s="36">
        <v>2019</v>
      </c>
      <c r="U2" s="36">
        <v>2020</v>
      </c>
      <c r="V2" s="36">
        <v>2021</v>
      </c>
      <c r="W2" s="36">
        <v>2022</v>
      </c>
    </row>
    <row r="3" spans="1:23" x14ac:dyDescent="0.2">
      <c r="A3" t="s">
        <v>100</v>
      </c>
      <c r="B3" t="s">
        <v>101</v>
      </c>
      <c r="C3" s="20">
        <v>41.798942565917969</v>
      </c>
      <c r="D3" s="20">
        <v>40.211639404296875</v>
      </c>
      <c r="E3" s="20">
        <v>39.901477813720703</v>
      </c>
      <c r="F3" s="20">
        <v>43.414634704589844</v>
      </c>
      <c r="G3" s="20">
        <v>43.414634704589844</v>
      </c>
      <c r="H3" s="20">
        <v>44.174758911132812</v>
      </c>
      <c r="I3" s="20">
        <v>39.805824279785156</v>
      </c>
      <c r="J3" s="20">
        <v>40.191387176513672</v>
      </c>
      <c r="K3" s="20">
        <v>44.761905670166016</v>
      </c>
      <c r="L3" s="20">
        <v>43.601894378662109</v>
      </c>
      <c r="M3" s="20">
        <v>40.284358978271484</v>
      </c>
      <c r="N3" s="20">
        <v>40.758293151855469</v>
      </c>
      <c r="O3" s="20">
        <v>35.576923370361328</v>
      </c>
      <c r="P3" s="20">
        <v>33.809524536132812</v>
      </c>
      <c r="Q3" s="20">
        <v>45.714286804199219</v>
      </c>
      <c r="R3" s="20">
        <v>44.285713195800781</v>
      </c>
      <c r="S3" s="20">
        <v>53.809524536132812</v>
      </c>
      <c r="T3" s="20">
        <v>52.857143402099609</v>
      </c>
      <c r="U3" s="20">
        <v>47.619049072265625</v>
      </c>
      <c r="V3" s="20">
        <v>38.095237731933594</v>
      </c>
      <c r="W3" s="20">
        <v>36.320755004882812</v>
      </c>
    </row>
    <row r="4" spans="1:23" x14ac:dyDescent="0.2">
      <c r="A4" t="s">
        <v>102</v>
      </c>
      <c r="B4" t="s">
        <v>103</v>
      </c>
      <c r="C4" s="20">
        <v>22.222221374511719</v>
      </c>
      <c r="D4" s="20">
        <v>23.280424118041992</v>
      </c>
      <c r="E4" s="20">
        <v>24.630542755126953</v>
      </c>
      <c r="F4" s="20">
        <v>24.390243530273438</v>
      </c>
      <c r="G4" s="20">
        <v>39.512195587158203</v>
      </c>
      <c r="H4" s="20">
        <v>39.805824279785156</v>
      </c>
      <c r="I4" s="20">
        <v>35.922328948974609</v>
      </c>
      <c r="J4" s="20">
        <v>29.186603546142578</v>
      </c>
      <c r="K4" s="20">
        <v>40</v>
      </c>
      <c r="L4" s="20">
        <v>34.123222351074219</v>
      </c>
      <c r="M4" s="20">
        <v>27.488151550292969</v>
      </c>
      <c r="N4" s="20">
        <v>35.071090698242188</v>
      </c>
      <c r="O4" s="20">
        <v>30.288461685180664</v>
      </c>
      <c r="P4" s="20">
        <v>26.666666030883789</v>
      </c>
      <c r="Q4" s="20">
        <v>24.285715103149414</v>
      </c>
      <c r="R4" s="20">
        <v>26.666666030883789</v>
      </c>
      <c r="S4" s="20">
        <v>27.619047164916992</v>
      </c>
      <c r="T4" s="20">
        <v>25.714284896850586</v>
      </c>
      <c r="U4" s="20">
        <v>22.380952835083008</v>
      </c>
      <c r="V4" s="20">
        <v>20.476190567016602</v>
      </c>
      <c r="W4" s="20">
        <v>20.754716873168945</v>
      </c>
    </row>
    <row r="5" spans="1:23" x14ac:dyDescent="0.2">
      <c r="A5" t="s">
        <v>104</v>
      </c>
      <c r="B5" t="s">
        <v>105</v>
      </c>
      <c r="C5" s="20">
        <v>58.730159759521484</v>
      </c>
      <c r="D5" s="20">
        <v>59.788360595703125</v>
      </c>
      <c r="E5" s="20">
        <v>54.679801940917969</v>
      </c>
      <c r="F5" s="20">
        <v>51.707317352294922</v>
      </c>
      <c r="G5" s="20">
        <v>53.170730590820312</v>
      </c>
      <c r="H5" s="20">
        <v>54.8543701171875</v>
      </c>
      <c r="I5" s="20">
        <v>57.766990661621094</v>
      </c>
      <c r="J5" s="20">
        <v>56.459331512451172</v>
      </c>
      <c r="K5" s="20">
        <v>60.476188659667969</v>
      </c>
      <c r="L5" s="20">
        <v>63.033176422119141</v>
      </c>
      <c r="M5" s="20">
        <v>56.398105621337891</v>
      </c>
      <c r="N5" s="20">
        <v>54.976303100585938</v>
      </c>
      <c r="O5" s="20">
        <v>44.230770111083984</v>
      </c>
      <c r="P5" s="20">
        <v>40.952381134033203</v>
      </c>
      <c r="Q5" s="20">
        <v>39.523811340332031</v>
      </c>
      <c r="R5" s="20">
        <v>35.714286804199219</v>
      </c>
      <c r="S5" s="20">
        <v>38.095237731933594</v>
      </c>
      <c r="T5" s="20">
        <v>40</v>
      </c>
      <c r="U5" s="20">
        <v>37.619049072265625</v>
      </c>
      <c r="V5" s="20">
        <v>34.285713195800781</v>
      </c>
      <c r="W5" s="20">
        <v>32.075469970703125</v>
      </c>
    </row>
    <row r="6" spans="1:23" x14ac:dyDescent="0.2">
      <c r="A6" t="s">
        <v>106</v>
      </c>
      <c r="B6" t="s">
        <v>107</v>
      </c>
      <c r="C6" s="20">
        <v>90.476188659667969</v>
      </c>
      <c r="D6" s="20">
        <v>83.597885131835938</v>
      </c>
      <c r="E6" s="20">
        <v>87.684730529785156</v>
      </c>
      <c r="F6" s="20">
        <v>91.219512939453125</v>
      </c>
      <c r="G6" s="20">
        <v>91.219512939453125</v>
      </c>
      <c r="H6" s="20">
        <v>89.805824279785156</v>
      </c>
      <c r="I6" s="20">
        <v>88.349517822265625</v>
      </c>
      <c r="J6" s="20">
        <v>88.038276672363281</v>
      </c>
      <c r="K6" s="20">
        <v>89.523811340332031</v>
      </c>
      <c r="L6" s="20">
        <v>90.047393798828125</v>
      </c>
      <c r="M6" s="20">
        <v>90.995262145996094</v>
      </c>
      <c r="N6" s="20">
        <v>90.047393798828125</v>
      </c>
      <c r="O6" s="20">
        <v>90.384613037109375</v>
      </c>
      <c r="P6" s="20">
        <v>87.142860412597656</v>
      </c>
      <c r="Q6" s="20">
        <v>80.476188659667969</v>
      </c>
      <c r="R6" s="20">
        <v>81.428573608398438</v>
      </c>
      <c r="S6" s="20">
        <v>80.952377319335938</v>
      </c>
      <c r="T6" s="20">
        <v>80.476188659667969</v>
      </c>
      <c r="U6" s="20">
        <v>83.333335876464844</v>
      </c>
      <c r="V6" s="20">
        <v>80.952377319335938</v>
      </c>
      <c r="W6" s="20">
        <v>80.660377502441406</v>
      </c>
    </row>
    <row r="7" spans="1:23" x14ac:dyDescent="0.2">
      <c r="A7" t="s">
        <v>108</v>
      </c>
      <c r="B7" t="s">
        <v>109</v>
      </c>
      <c r="C7" s="20">
        <v>46.560848236083984</v>
      </c>
      <c r="D7" s="20">
        <v>50.793651580810547</v>
      </c>
      <c r="E7" s="20">
        <v>52.216747283935547</v>
      </c>
      <c r="F7" s="20">
        <v>52.195121765136719</v>
      </c>
      <c r="G7" s="20">
        <v>52.195121765136719</v>
      </c>
      <c r="H7" s="20">
        <v>49.029125213623047</v>
      </c>
      <c r="I7" s="20">
        <v>49.514564514160156</v>
      </c>
      <c r="J7" s="20">
        <v>45.454544067382812</v>
      </c>
      <c r="K7" s="20">
        <v>41.428569793701172</v>
      </c>
      <c r="L7" s="20">
        <v>47.393363952636719</v>
      </c>
      <c r="M7" s="20">
        <v>42.180095672607422</v>
      </c>
      <c r="N7" s="20">
        <v>40.284358978271484</v>
      </c>
      <c r="O7" s="20">
        <v>42.788459777832031</v>
      </c>
      <c r="P7" s="20">
        <v>44.761905670166016</v>
      </c>
      <c r="Q7" s="20">
        <v>41.904762268066406</v>
      </c>
      <c r="R7" s="20">
        <v>42.380950927734375</v>
      </c>
      <c r="S7" s="20">
        <v>43.333332061767578</v>
      </c>
      <c r="T7" s="20">
        <v>46.190475463867188</v>
      </c>
      <c r="U7" s="20">
        <v>45.714286804199219</v>
      </c>
      <c r="V7" s="20">
        <v>42.380950927734375</v>
      </c>
      <c r="W7" s="20">
        <v>41.037734985351562</v>
      </c>
    </row>
    <row r="8" spans="1:23" x14ac:dyDescent="0.2">
      <c r="A8" t="s">
        <v>110</v>
      </c>
      <c r="B8" t="s">
        <v>111</v>
      </c>
      <c r="C8" s="20">
        <v>23.809524536132812</v>
      </c>
      <c r="D8" s="20">
        <v>29.100528717041016</v>
      </c>
      <c r="E8" s="20">
        <v>27.093595504760742</v>
      </c>
      <c r="F8" s="20">
        <v>25.365854263305664</v>
      </c>
      <c r="G8" s="20">
        <v>24.390243530273438</v>
      </c>
      <c r="H8" s="20">
        <v>26.699029922485352</v>
      </c>
      <c r="I8" s="20">
        <v>31.067960739135742</v>
      </c>
      <c r="J8" s="20">
        <v>24.880382537841797</v>
      </c>
      <c r="K8" s="20">
        <v>26.190475463867188</v>
      </c>
      <c r="L8" s="20">
        <v>28.909952163696289</v>
      </c>
      <c r="M8" s="20">
        <v>36.966823577880859</v>
      </c>
      <c r="N8" s="20">
        <v>37.440757751464844</v>
      </c>
      <c r="O8" s="20">
        <v>27.403846740722656</v>
      </c>
      <c r="P8" s="20">
        <v>29.047618865966797</v>
      </c>
      <c r="Q8" s="20">
        <v>28.571428298950195</v>
      </c>
      <c r="R8" s="20">
        <v>30.952381134033203</v>
      </c>
      <c r="S8" s="20">
        <v>29.523809432983398</v>
      </c>
      <c r="T8" s="20">
        <v>34.761905670166016</v>
      </c>
      <c r="U8" s="20">
        <v>33.809524536132812</v>
      </c>
      <c r="V8" s="20">
        <v>30</v>
      </c>
      <c r="W8" s="20">
        <v>29.716981887817383</v>
      </c>
    </row>
    <row r="9" spans="1:23" x14ac:dyDescent="0.2">
      <c r="A9" t="s">
        <v>112</v>
      </c>
      <c r="B9" t="s">
        <v>113</v>
      </c>
      <c r="C9" s="20">
        <v>46.031745910644531</v>
      </c>
      <c r="D9" s="20">
        <v>53.439151763916016</v>
      </c>
      <c r="E9" s="20">
        <v>38.916255950927734</v>
      </c>
      <c r="F9" s="20">
        <v>44.390243530273438</v>
      </c>
      <c r="G9" s="20">
        <v>48.780487060546875</v>
      </c>
      <c r="H9" s="20">
        <v>49.514564514160156</v>
      </c>
      <c r="I9" s="20">
        <v>52.42718505859375</v>
      </c>
      <c r="J9" s="20">
        <v>45.933013916015625</v>
      </c>
      <c r="K9" s="20">
        <v>50.476188659667969</v>
      </c>
      <c r="L9" s="20">
        <v>51.658767700195312</v>
      </c>
      <c r="M9" s="20">
        <v>43.127960205078125</v>
      </c>
      <c r="N9" s="20">
        <v>39.8104248046875</v>
      </c>
      <c r="O9" s="20">
        <v>31.730770111083984</v>
      </c>
      <c r="P9" s="20">
        <v>31.904762268066406</v>
      </c>
      <c r="Q9" s="20">
        <v>40.952381134033203</v>
      </c>
      <c r="R9" s="20">
        <v>35.238094329833984</v>
      </c>
      <c r="S9" s="20">
        <v>31.428571701049805</v>
      </c>
      <c r="T9" s="20">
        <v>34.285713195800781</v>
      </c>
      <c r="U9" s="20">
        <v>32.857143402099609</v>
      </c>
      <c r="V9" s="20">
        <v>28.571428298950195</v>
      </c>
      <c r="W9" s="20">
        <v>22.169811248779297</v>
      </c>
    </row>
    <row r="10" spans="1:23" x14ac:dyDescent="0.2">
      <c r="A10" t="s">
        <v>114</v>
      </c>
      <c r="B10" t="s">
        <v>115</v>
      </c>
      <c r="C10" s="20">
        <v>2.6455025672912598</v>
      </c>
      <c r="D10" s="20">
        <v>3.1746032238006592</v>
      </c>
      <c r="E10" s="20">
        <v>3.9408867359161377</v>
      </c>
      <c r="F10" s="20">
        <v>4.8780488967895508</v>
      </c>
      <c r="G10" s="20">
        <v>9.7560977935791016</v>
      </c>
      <c r="H10" s="20">
        <v>7.7669901847839355</v>
      </c>
      <c r="I10" s="20">
        <v>16.504854202270508</v>
      </c>
      <c r="J10" s="20">
        <v>22.966506958007812</v>
      </c>
      <c r="K10" s="20">
        <v>26.666666030883789</v>
      </c>
      <c r="L10" s="20">
        <v>25.592416763305664</v>
      </c>
      <c r="M10" s="20">
        <v>21.327014923095703</v>
      </c>
      <c r="N10" s="20">
        <v>14.218009948730469</v>
      </c>
      <c r="O10" s="20">
        <v>15.384614944458008</v>
      </c>
      <c r="P10" s="20">
        <v>14.761904716491699</v>
      </c>
      <c r="Q10" s="20">
        <v>24.761905670166016</v>
      </c>
      <c r="R10" s="20">
        <v>24.761905670166016</v>
      </c>
      <c r="S10" s="20">
        <v>19.047618865966797</v>
      </c>
      <c r="T10" s="20">
        <v>19.523809432983398</v>
      </c>
      <c r="U10" s="20">
        <v>21.428571701049805</v>
      </c>
      <c r="V10" s="20">
        <v>16.666666030883789</v>
      </c>
      <c r="W10" s="20">
        <v>15.094339370727539</v>
      </c>
    </row>
    <row r="11" spans="1:23" x14ac:dyDescent="0.2">
      <c r="A11" t="s">
        <v>116</v>
      </c>
      <c r="B11" t="s">
        <v>117</v>
      </c>
      <c r="C11" s="20">
        <v>82.010581970214844</v>
      </c>
      <c r="D11" s="20">
        <v>82.539680480957031</v>
      </c>
      <c r="E11" s="20">
        <v>81.280784606933594</v>
      </c>
      <c r="F11" s="20">
        <v>81.951217651367188</v>
      </c>
      <c r="G11" s="20">
        <v>83.902435302734375</v>
      </c>
      <c r="H11" s="20">
        <v>88.834953308105469</v>
      </c>
      <c r="I11" s="20">
        <v>89.805824279785156</v>
      </c>
      <c r="J11" s="20">
        <v>84.688995361328125</v>
      </c>
      <c r="K11" s="20">
        <v>85.714286804199219</v>
      </c>
      <c r="L11" s="20">
        <v>87.677726745605469</v>
      </c>
      <c r="M11" s="20">
        <v>88.625595092773438</v>
      </c>
      <c r="N11" s="20">
        <v>89.573463439941406</v>
      </c>
      <c r="O11" s="20">
        <v>89.903846740722656</v>
      </c>
      <c r="P11" s="20">
        <v>89.047622680664062</v>
      </c>
      <c r="Q11" s="20">
        <v>89.047622680664062</v>
      </c>
      <c r="R11" s="20">
        <v>88.095237731933594</v>
      </c>
      <c r="S11" s="20">
        <v>86.666664123535156</v>
      </c>
      <c r="T11" s="20">
        <v>88.095237731933594</v>
      </c>
      <c r="U11" s="20">
        <v>89.047622680664062</v>
      </c>
      <c r="V11" s="20">
        <v>91.428573608398438</v>
      </c>
      <c r="W11" s="20">
        <v>91.981132507324219</v>
      </c>
    </row>
    <row r="12" spans="1:23" x14ac:dyDescent="0.2">
      <c r="A12" t="s">
        <v>118</v>
      </c>
      <c r="B12" t="s">
        <v>119</v>
      </c>
      <c r="C12" s="20">
        <v>10.582010269165039</v>
      </c>
      <c r="D12" s="20">
        <v>10.052909851074219</v>
      </c>
      <c r="E12" s="20">
        <v>17.241378784179688</v>
      </c>
      <c r="F12" s="20">
        <v>16.097560882568359</v>
      </c>
      <c r="G12" s="20">
        <v>15.121951103210449</v>
      </c>
      <c r="H12" s="20">
        <v>12.621358871459961</v>
      </c>
      <c r="I12" s="20">
        <v>11.165048599243164</v>
      </c>
      <c r="J12" s="20">
        <v>10.047846794128418</v>
      </c>
      <c r="K12" s="20">
        <v>8.0952377319335938</v>
      </c>
      <c r="L12" s="20">
        <v>11.84834098815918</v>
      </c>
      <c r="M12" s="20">
        <v>8.0568723678588867</v>
      </c>
      <c r="N12" s="20">
        <v>6.161137580871582</v>
      </c>
      <c r="O12" s="20">
        <v>4.8076925277709961</v>
      </c>
      <c r="P12" s="20">
        <v>4.7619047164916992</v>
      </c>
      <c r="Q12" s="20">
        <v>7.1428570747375488</v>
      </c>
      <c r="R12" s="20">
        <v>6.6666665077209473</v>
      </c>
      <c r="S12" s="20">
        <v>4.2857141494750977</v>
      </c>
      <c r="T12" s="20">
        <v>3.8095238208770752</v>
      </c>
      <c r="U12" s="20">
        <v>3.3333332538604736</v>
      </c>
      <c r="V12" s="20">
        <v>1.9047619104385376</v>
      </c>
      <c r="W12" s="20">
        <v>1.8867924213409424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FCFC0-5EE1-B645-893E-7A9942F6CAF3}">
  <dimension ref="A1:M52"/>
  <sheetViews>
    <sheetView zoomScale="75" workbookViewId="0">
      <selection activeCell="K20" sqref="K20"/>
    </sheetView>
  </sheetViews>
  <sheetFormatPr baseColWidth="10" defaultRowHeight="16" x14ac:dyDescent="0.2"/>
  <cols>
    <col min="1" max="2" width="13" bestFit="1" customWidth="1"/>
    <col min="3" max="13" width="10.83203125" style="13"/>
  </cols>
  <sheetData>
    <row r="1" spans="1:13" s="21" customFormat="1" x14ac:dyDescent="0.2">
      <c r="A1" s="21" t="s">
        <v>55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3" s="17" customFormat="1" x14ac:dyDescent="0.2">
      <c r="A2" s="17" t="s">
        <v>14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3" s="24" customFormat="1" x14ac:dyDescent="0.2">
      <c r="A3" s="24" t="s">
        <v>69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</row>
    <row r="4" spans="1:13" s="24" customFormat="1" x14ac:dyDescent="0.2">
      <c r="A4" s="24" t="s">
        <v>88</v>
      </c>
      <c r="B4" s="24" t="s">
        <v>87</v>
      </c>
      <c r="C4" s="25" t="s">
        <v>133</v>
      </c>
      <c r="D4" s="25" t="s">
        <v>134</v>
      </c>
      <c r="E4" s="25" t="s">
        <v>135</v>
      </c>
      <c r="F4" s="29"/>
      <c r="G4" s="25" t="s">
        <v>136</v>
      </c>
      <c r="H4" s="25" t="s">
        <v>137</v>
      </c>
      <c r="I4" s="25" t="s">
        <v>138</v>
      </c>
      <c r="J4" s="29"/>
      <c r="K4" s="25" t="s">
        <v>139</v>
      </c>
      <c r="L4" s="25" t="s">
        <v>141</v>
      </c>
      <c r="M4" s="25" t="s">
        <v>140</v>
      </c>
    </row>
    <row r="5" spans="1:13" x14ac:dyDescent="0.2">
      <c r="C5" s="26"/>
      <c r="D5" s="26"/>
      <c r="E5" s="26"/>
      <c r="G5" s="26"/>
      <c r="H5" s="26"/>
      <c r="I5" s="26"/>
      <c r="K5" s="26"/>
      <c r="L5" s="26"/>
      <c r="M5" s="26"/>
    </row>
    <row r="6" spans="1:13" x14ac:dyDescent="0.2">
      <c r="C6" s="26"/>
      <c r="D6" s="26"/>
      <c r="E6" s="26"/>
      <c r="G6" s="26"/>
      <c r="H6" s="26"/>
      <c r="I6" s="26"/>
      <c r="K6" s="26"/>
      <c r="L6" s="26"/>
      <c r="M6" s="26"/>
    </row>
    <row r="7" spans="1:13" x14ac:dyDescent="0.2">
      <c r="A7" t="s">
        <v>88</v>
      </c>
      <c r="C7" s="13" t="s">
        <v>89</v>
      </c>
      <c r="D7" s="13" t="s">
        <v>90</v>
      </c>
      <c r="E7" s="13" t="s">
        <v>91</v>
      </c>
      <c r="F7" s="13" t="s">
        <v>92</v>
      </c>
      <c r="G7" s="13" t="s">
        <v>93</v>
      </c>
      <c r="H7" s="13" t="s">
        <v>94</v>
      </c>
      <c r="I7" s="13" t="s">
        <v>95</v>
      </c>
      <c r="J7" s="13" t="s">
        <v>96</v>
      </c>
      <c r="K7" s="13" t="s">
        <v>97</v>
      </c>
      <c r="L7" s="13" t="s">
        <v>98</v>
      </c>
      <c r="M7" s="13" t="s">
        <v>99</v>
      </c>
    </row>
    <row r="8" spans="1:13" x14ac:dyDescent="0.2">
      <c r="A8" s="21" t="s">
        <v>101</v>
      </c>
      <c r="B8" s="21" t="s">
        <v>143</v>
      </c>
      <c r="C8" s="30">
        <v>0.33342334820213809</v>
      </c>
      <c r="D8" s="30">
        <v>0.32835256488095244</v>
      </c>
      <c r="E8" s="30">
        <v>0.39203169047619052</v>
      </c>
      <c r="F8" s="30">
        <v>0.40417294842857149</v>
      </c>
      <c r="G8" s="30">
        <v>0.36399773188095236</v>
      </c>
      <c r="H8" s="30">
        <v>0.34415666190476191</v>
      </c>
      <c r="I8" s="30">
        <v>0.32030293295354817</v>
      </c>
      <c r="J8" s="30">
        <v>0.28196583523321134</v>
      </c>
      <c r="K8" s="30">
        <v>0.23689552831257502</v>
      </c>
      <c r="L8" s="30">
        <v>0.2604947619047619</v>
      </c>
      <c r="M8" s="30">
        <v>0.24488530714285717</v>
      </c>
    </row>
    <row r="9" spans="1:13" x14ac:dyDescent="0.2">
      <c r="A9" s="17" t="s">
        <v>101</v>
      </c>
      <c r="B9" s="17" t="s">
        <v>144</v>
      </c>
      <c r="C9" s="31">
        <v>0.5</v>
      </c>
      <c r="D9" s="31">
        <v>0.5</v>
      </c>
      <c r="E9" s="31">
        <v>0.5</v>
      </c>
      <c r="F9" s="31">
        <v>0.5</v>
      </c>
      <c r="G9" s="31">
        <v>0.5</v>
      </c>
      <c r="H9" s="31">
        <v>0.5</v>
      </c>
      <c r="I9" s="31">
        <v>0.5</v>
      </c>
      <c r="J9" s="31">
        <v>0.25</v>
      </c>
      <c r="K9" s="31">
        <v>0.25</v>
      </c>
      <c r="L9" s="31">
        <v>0.25</v>
      </c>
      <c r="M9" s="31">
        <v>0.25</v>
      </c>
    </row>
    <row r="10" spans="1:13" x14ac:dyDescent="0.2">
      <c r="A10" s="24" t="s">
        <v>101</v>
      </c>
      <c r="B10" s="24" t="s">
        <v>145</v>
      </c>
      <c r="C10" s="32">
        <v>0.45949794482318829</v>
      </c>
      <c r="D10" s="32">
        <v>0.48313224841821434</v>
      </c>
      <c r="E10" s="32">
        <v>0.51706282335453058</v>
      </c>
      <c r="F10" s="32">
        <v>0.51706282335453058</v>
      </c>
      <c r="G10" s="32">
        <v>0.52166659352399269</v>
      </c>
      <c r="H10" s="32">
        <v>0.52068475125640501</v>
      </c>
      <c r="I10" s="32">
        <v>0.50537304972334884</v>
      </c>
      <c r="J10" s="32">
        <v>0.50537304972334884</v>
      </c>
      <c r="K10" s="32">
        <v>0.47875708431202757</v>
      </c>
      <c r="L10" s="32">
        <v>0.49228338645105035</v>
      </c>
      <c r="M10" s="32">
        <v>0.47472964193846551</v>
      </c>
    </row>
    <row r="11" spans="1:13" x14ac:dyDescent="0.2">
      <c r="B11" t="s">
        <v>148</v>
      </c>
      <c r="C11" s="20">
        <f>40.2843589782715/100</f>
        <v>0.40284358978271501</v>
      </c>
      <c r="D11" s="20">
        <f t="shared" ref="D11:M11" si="0">40.2843589782715/100</f>
        <v>0.40284358978271501</v>
      </c>
      <c r="E11" s="20">
        <f t="shared" si="0"/>
        <v>0.40284358978271501</v>
      </c>
      <c r="F11" s="20">
        <f t="shared" si="0"/>
        <v>0.40284358978271501</v>
      </c>
      <c r="G11" s="20">
        <f t="shared" si="0"/>
        <v>0.40284358978271501</v>
      </c>
      <c r="H11" s="20">
        <f t="shared" si="0"/>
        <v>0.40284358978271501</v>
      </c>
      <c r="I11" s="20">
        <f t="shared" si="0"/>
        <v>0.40284358978271501</v>
      </c>
      <c r="J11" s="20">
        <f t="shared" si="0"/>
        <v>0.40284358978271501</v>
      </c>
      <c r="K11" s="20">
        <f t="shared" si="0"/>
        <v>0.40284358978271501</v>
      </c>
      <c r="L11" s="20">
        <f t="shared" si="0"/>
        <v>0.40284358978271501</v>
      </c>
      <c r="M11" s="20">
        <f t="shared" si="0"/>
        <v>0.40284358978271501</v>
      </c>
    </row>
    <row r="12" spans="1:13" x14ac:dyDescent="0.2">
      <c r="C12" s="37"/>
      <c r="D12" s="37"/>
      <c r="E12" s="37"/>
      <c r="G12" s="37"/>
      <c r="H12" s="37"/>
      <c r="I12" s="37"/>
      <c r="K12" s="37"/>
      <c r="L12" s="37"/>
      <c r="M12" s="37"/>
    </row>
    <row r="13" spans="1:13" x14ac:dyDescent="0.2">
      <c r="C13" s="37"/>
      <c r="D13" s="37"/>
      <c r="E13" s="37"/>
      <c r="G13" s="37"/>
      <c r="H13" s="37"/>
      <c r="I13" s="37"/>
      <c r="K13" s="37"/>
      <c r="L13" s="37"/>
      <c r="M13" s="37"/>
    </row>
    <row r="14" spans="1:13" x14ac:dyDescent="0.2">
      <c r="C14" s="37"/>
      <c r="D14" s="37"/>
      <c r="E14" s="37"/>
      <c r="G14" s="37"/>
      <c r="H14" s="37"/>
      <c r="I14" s="37"/>
      <c r="K14" s="37"/>
      <c r="L14" s="37"/>
      <c r="M14" s="37"/>
    </row>
    <row r="15" spans="1:13" x14ac:dyDescent="0.2">
      <c r="C15" s="13" t="s">
        <v>89</v>
      </c>
      <c r="D15" s="13" t="s">
        <v>90</v>
      </c>
      <c r="E15" s="13" t="s">
        <v>91</v>
      </c>
      <c r="F15" s="13" t="s">
        <v>92</v>
      </c>
      <c r="G15" s="13" t="s">
        <v>93</v>
      </c>
      <c r="H15" s="13" t="s">
        <v>94</v>
      </c>
      <c r="I15" s="13" t="s">
        <v>95</v>
      </c>
      <c r="J15" s="13" t="s">
        <v>96</v>
      </c>
      <c r="K15" s="13" t="s">
        <v>97</v>
      </c>
      <c r="L15" s="13" t="s">
        <v>98</v>
      </c>
      <c r="M15" s="13" t="s">
        <v>99</v>
      </c>
    </row>
    <row r="16" spans="1:13" x14ac:dyDescent="0.2">
      <c r="A16" s="21" t="s">
        <v>103</v>
      </c>
      <c r="B16" s="21" t="s">
        <v>143</v>
      </c>
      <c r="C16" s="30">
        <v>0.2627821491596638</v>
      </c>
      <c r="D16" s="30">
        <v>0.27680006480952379</v>
      </c>
      <c r="E16" s="30">
        <v>0.28377816666666666</v>
      </c>
      <c r="F16" s="30">
        <v>0.22564147197619047</v>
      </c>
      <c r="G16" s="30" t="e">
        <v>#N/A</v>
      </c>
      <c r="H16" s="30" t="e">
        <v>#N/A</v>
      </c>
      <c r="I16" s="30">
        <v>0.21378588020574082</v>
      </c>
      <c r="J16" s="30">
        <v>0.25496758205973968</v>
      </c>
      <c r="K16" s="30">
        <v>0.31406624465800015</v>
      </c>
      <c r="L16" s="30">
        <v>0.29439000000000004</v>
      </c>
      <c r="M16" s="30">
        <v>0.26188135952380948</v>
      </c>
    </row>
    <row r="17" spans="1:13" x14ac:dyDescent="0.2">
      <c r="A17" s="17" t="s">
        <v>103</v>
      </c>
      <c r="B17" s="17" t="s">
        <v>144</v>
      </c>
      <c r="C17" s="31">
        <v>0.25</v>
      </c>
      <c r="D17" s="31">
        <v>0.25</v>
      </c>
      <c r="E17" s="31">
        <v>0.25</v>
      </c>
      <c r="F17" s="31">
        <v>0.25</v>
      </c>
      <c r="G17" s="31">
        <v>0.25</v>
      </c>
      <c r="H17" s="31">
        <v>0.25</v>
      </c>
      <c r="I17" s="31">
        <v>0.25</v>
      </c>
      <c r="J17" s="31">
        <v>0.25</v>
      </c>
      <c r="K17" s="31">
        <v>0.25</v>
      </c>
      <c r="L17" s="31">
        <v>0.25</v>
      </c>
      <c r="M17" s="31">
        <v>0.25</v>
      </c>
    </row>
    <row r="18" spans="1:13" x14ac:dyDescent="0.2">
      <c r="A18" s="24" t="s">
        <v>103</v>
      </c>
      <c r="B18" s="24" t="s">
        <v>145</v>
      </c>
      <c r="C18" s="32">
        <v>0.24658332496621979</v>
      </c>
      <c r="D18" s="32">
        <v>0.27278409649008939</v>
      </c>
      <c r="E18" s="32">
        <v>0.26541993027355942</v>
      </c>
      <c r="F18" s="32">
        <v>0.26541993027355942</v>
      </c>
      <c r="G18" s="32">
        <v>0.26193356835387255</v>
      </c>
      <c r="H18" s="32">
        <v>0.36491251379148709</v>
      </c>
      <c r="I18" s="32">
        <v>0.28997585279498472</v>
      </c>
      <c r="J18" s="32">
        <v>0.28997585279498472</v>
      </c>
      <c r="K18" s="32">
        <v>0.33553128476563976</v>
      </c>
      <c r="L18" s="32">
        <v>0.3210050003472889</v>
      </c>
      <c r="M18" s="32">
        <v>0.24491313563896622</v>
      </c>
    </row>
    <row r="19" spans="1:13" x14ac:dyDescent="0.2">
      <c r="B19" t="s">
        <v>148</v>
      </c>
      <c r="C19" s="20">
        <f>27.488151550293/100</f>
        <v>0.27488151550293</v>
      </c>
      <c r="D19" s="20">
        <f t="shared" ref="D19:M19" si="1">27.488151550293/100</f>
        <v>0.27488151550293</v>
      </c>
      <c r="E19" s="20">
        <f t="shared" si="1"/>
        <v>0.27488151550293</v>
      </c>
      <c r="F19" s="20">
        <f t="shared" si="1"/>
        <v>0.27488151550293</v>
      </c>
      <c r="G19" s="20">
        <f t="shared" si="1"/>
        <v>0.27488151550293</v>
      </c>
      <c r="H19" s="20">
        <f t="shared" si="1"/>
        <v>0.27488151550293</v>
      </c>
      <c r="I19" s="20">
        <f t="shared" si="1"/>
        <v>0.27488151550293</v>
      </c>
      <c r="J19" s="20">
        <f t="shared" si="1"/>
        <v>0.27488151550293</v>
      </c>
      <c r="K19" s="20">
        <f t="shared" si="1"/>
        <v>0.27488151550293</v>
      </c>
      <c r="L19" s="20">
        <f t="shared" si="1"/>
        <v>0.27488151550293</v>
      </c>
      <c r="M19" s="20">
        <f t="shared" si="1"/>
        <v>0.27488151550293</v>
      </c>
    </row>
    <row r="20" spans="1:13" x14ac:dyDescent="0.2">
      <c r="C20" s="37"/>
      <c r="D20" s="37"/>
      <c r="E20" s="37"/>
      <c r="G20" s="37"/>
      <c r="H20" s="37"/>
      <c r="I20" s="37"/>
      <c r="K20" s="37"/>
      <c r="L20" s="37"/>
      <c r="M20" s="37"/>
    </row>
    <row r="21" spans="1:13" x14ac:dyDescent="0.2">
      <c r="C21" s="37"/>
      <c r="D21" s="37"/>
      <c r="E21" s="37"/>
      <c r="G21" s="37"/>
      <c r="H21" s="37"/>
      <c r="I21" s="37"/>
      <c r="K21" s="37"/>
      <c r="L21" s="37"/>
      <c r="M21" s="37"/>
    </row>
    <row r="22" spans="1:13" x14ac:dyDescent="0.2">
      <c r="C22" s="37"/>
      <c r="D22" s="37"/>
      <c r="E22" s="37"/>
      <c r="G22" s="37"/>
      <c r="H22" s="37"/>
      <c r="I22" s="37"/>
      <c r="K22" s="37"/>
      <c r="L22" s="37"/>
      <c r="M22" s="37"/>
    </row>
    <row r="23" spans="1:13" x14ac:dyDescent="0.2">
      <c r="A23" s="21" t="s">
        <v>105</v>
      </c>
      <c r="B23" s="21" t="s">
        <v>104</v>
      </c>
      <c r="C23" s="30">
        <v>0.39167473123352664</v>
      </c>
      <c r="D23" s="30">
        <v>0.37838933295238103</v>
      </c>
      <c r="E23" s="30">
        <v>0.33233773809523809</v>
      </c>
      <c r="F23" s="30">
        <v>0.26902099447619043</v>
      </c>
      <c r="G23" s="30">
        <v>0.25348422359523809</v>
      </c>
      <c r="H23" s="30">
        <v>0.26124348809523812</v>
      </c>
      <c r="I23" s="30">
        <v>0.3069992398000671</v>
      </c>
      <c r="J23" s="30">
        <v>0.23798732702342332</v>
      </c>
      <c r="K23" s="30">
        <v>0.32829708498887472</v>
      </c>
      <c r="L23" s="30">
        <v>0.36830095238095234</v>
      </c>
      <c r="M23" s="30">
        <v>0.42174196666666663</v>
      </c>
    </row>
    <row r="24" spans="1:13" x14ac:dyDescent="0.2">
      <c r="A24" s="17" t="s">
        <v>105</v>
      </c>
      <c r="B24" s="17" t="s">
        <v>104</v>
      </c>
      <c r="C24" s="31">
        <v>0.25</v>
      </c>
      <c r="D24" s="31">
        <v>0.25</v>
      </c>
      <c r="E24" s="31">
        <v>0.25</v>
      </c>
      <c r="F24" s="31">
        <v>0.25</v>
      </c>
      <c r="G24" s="31">
        <v>0.25</v>
      </c>
      <c r="H24" s="31">
        <v>0.25</v>
      </c>
      <c r="I24" s="31">
        <v>0.25</v>
      </c>
      <c r="J24" s="31">
        <v>0.25</v>
      </c>
      <c r="K24" s="31">
        <v>0.25</v>
      </c>
      <c r="L24" s="31">
        <v>0.25</v>
      </c>
      <c r="M24" s="31">
        <v>0.25</v>
      </c>
    </row>
    <row r="25" spans="1:13" x14ac:dyDescent="0.2">
      <c r="A25" s="24" t="s">
        <v>105</v>
      </c>
      <c r="B25" s="24" t="s">
        <v>104</v>
      </c>
      <c r="C25" s="32">
        <v>0.43232170158915129</v>
      </c>
      <c r="D25" s="32">
        <v>0.4348255968239147</v>
      </c>
      <c r="E25" s="32">
        <v>0.44668808733159504</v>
      </c>
      <c r="F25" s="29" t="s">
        <v>142</v>
      </c>
      <c r="G25" s="32">
        <v>0.4546344791309207</v>
      </c>
      <c r="H25" s="32">
        <v>0.47458824677179728</v>
      </c>
      <c r="I25" s="32">
        <v>0.45467966112864983</v>
      </c>
      <c r="J25" s="29" t="s">
        <v>142</v>
      </c>
      <c r="K25" s="32">
        <v>0.46009866088566137</v>
      </c>
      <c r="L25" s="32">
        <v>0.49654153047933952</v>
      </c>
      <c r="M25" s="32">
        <v>0.52272198229524558</v>
      </c>
    </row>
    <row r="26" spans="1:13" x14ac:dyDescent="0.2">
      <c r="A26" s="21" t="s">
        <v>107</v>
      </c>
      <c r="B26" s="21" t="s">
        <v>106</v>
      </c>
      <c r="C26" s="30">
        <v>0.64847755476190483</v>
      </c>
      <c r="D26" s="30">
        <v>0.65705662111904772</v>
      </c>
      <c r="E26" s="30">
        <v>0.68043621428571421</v>
      </c>
      <c r="F26" s="30">
        <v>0.71935394264285712</v>
      </c>
      <c r="G26" s="30">
        <v>0.69425433021428573</v>
      </c>
      <c r="H26" s="30">
        <v>0.68773717380952382</v>
      </c>
      <c r="I26" s="30">
        <v>0.64413825177117257</v>
      </c>
      <c r="J26" s="30">
        <v>0.63998780484811302</v>
      </c>
      <c r="K26" s="30">
        <v>0.70797038266042756</v>
      </c>
      <c r="L26" s="30">
        <v>0.72310476190476192</v>
      </c>
      <c r="M26" s="30">
        <v>0.72098947619047604</v>
      </c>
    </row>
    <row r="27" spans="1:13" s="17" customFormat="1" x14ac:dyDescent="0.2">
      <c r="A27" s="17" t="s">
        <v>107</v>
      </c>
      <c r="B27" s="17" t="s">
        <v>106</v>
      </c>
      <c r="C27" s="31">
        <v>0.75</v>
      </c>
      <c r="D27" s="31">
        <v>0.75</v>
      </c>
      <c r="E27" s="31">
        <v>0.75</v>
      </c>
      <c r="F27" s="31">
        <v>0.75</v>
      </c>
      <c r="G27" s="31">
        <v>0.75</v>
      </c>
      <c r="H27" s="31">
        <v>0.75</v>
      </c>
      <c r="I27" s="31">
        <v>0.75</v>
      </c>
      <c r="J27" s="31">
        <v>0.75</v>
      </c>
      <c r="K27" s="31">
        <v>0.75</v>
      </c>
      <c r="L27" s="31">
        <v>0.75</v>
      </c>
      <c r="M27" s="31">
        <v>0.75</v>
      </c>
    </row>
    <row r="28" spans="1:13" s="17" customFormat="1" x14ac:dyDescent="0.2">
      <c r="A28" s="24" t="s">
        <v>107</v>
      </c>
      <c r="B28" s="24" t="s">
        <v>106</v>
      </c>
      <c r="C28" s="32">
        <v>0.6894562460030732</v>
      </c>
      <c r="D28" s="32">
        <v>0.690003219701947</v>
      </c>
      <c r="E28" s="32">
        <v>0.69031669534147722</v>
      </c>
      <c r="F28" s="29" t="s">
        <v>142</v>
      </c>
      <c r="G28" s="32">
        <v>0.69597205034777265</v>
      </c>
      <c r="H28" s="32">
        <v>0.64865239434071931</v>
      </c>
      <c r="I28" s="32">
        <v>0.69981518751564831</v>
      </c>
      <c r="J28" s="29" t="s">
        <v>142</v>
      </c>
      <c r="K28" s="32">
        <v>0.71682206138316573</v>
      </c>
      <c r="L28" s="32">
        <v>0.72975919734609607</v>
      </c>
      <c r="M28" s="32">
        <v>0.73892087352757718</v>
      </c>
    </row>
    <row r="29" spans="1:13" s="17" customFormat="1" x14ac:dyDescent="0.2">
      <c r="A29" s="21" t="s">
        <v>109</v>
      </c>
      <c r="B29" s="21" t="s">
        <v>108</v>
      </c>
      <c r="C29" s="30">
        <v>0.43207494566453458</v>
      </c>
      <c r="D29" s="30">
        <v>0.4265871218333333</v>
      </c>
      <c r="E29" s="30">
        <v>0.38692030952380957</v>
      </c>
      <c r="F29" s="30">
        <v>0.3672794132142857</v>
      </c>
      <c r="G29" s="30">
        <v>0.32637530002380949</v>
      </c>
      <c r="H29" s="30">
        <v>0.30195145714285715</v>
      </c>
      <c r="I29" s="30">
        <v>0.34652355951628649</v>
      </c>
      <c r="J29" s="30">
        <v>0.33996451429662539</v>
      </c>
      <c r="K29" s="30">
        <v>0.32282704400616119</v>
      </c>
      <c r="L29" s="30">
        <v>0.34192904761904763</v>
      </c>
      <c r="M29" s="30">
        <v>0.34305527857142859</v>
      </c>
    </row>
    <row r="30" spans="1:13" s="17" customFormat="1" x14ac:dyDescent="0.2">
      <c r="A30" s="17" t="s">
        <v>109</v>
      </c>
      <c r="B30" s="17" t="s">
        <v>108</v>
      </c>
      <c r="C30" s="31">
        <v>0.5</v>
      </c>
      <c r="D30" s="31">
        <v>0.5</v>
      </c>
      <c r="E30" s="31">
        <v>0.5</v>
      </c>
      <c r="F30" s="31">
        <v>0.5</v>
      </c>
      <c r="G30" s="31">
        <v>0.5</v>
      </c>
      <c r="H30" s="31">
        <v>0.5</v>
      </c>
      <c r="I30" s="31">
        <v>0.5</v>
      </c>
      <c r="J30" s="31">
        <v>0.5</v>
      </c>
      <c r="K30" s="31">
        <v>0.25</v>
      </c>
      <c r="L30" s="31">
        <v>0.25</v>
      </c>
      <c r="M30" s="31">
        <v>0.25</v>
      </c>
    </row>
    <row r="31" spans="1:13" s="17" customFormat="1" x14ac:dyDescent="0.2">
      <c r="A31" s="24" t="s">
        <v>109</v>
      </c>
      <c r="B31" s="24" t="s">
        <v>108</v>
      </c>
      <c r="C31" s="32">
        <v>0.38037224571583933</v>
      </c>
      <c r="D31" s="32">
        <v>0.3907763289753225</v>
      </c>
      <c r="E31" s="32">
        <v>0.38601423360028736</v>
      </c>
      <c r="F31" s="29" t="s">
        <v>142</v>
      </c>
      <c r="G31" s="32">
        <v>0.384214154253121</v>
      </c>
      <c r="H31" s="32">
        <v>0.43642559028413547</v>
      </c>
      <c r="I31" s="32">
        <v>0.40759439318056651</v>
      </c>
      <c r="J31" s="29" t="s">
        <v>142</v>
      </c>
      <c r="K31" s="32">
        <v>0.4260958019730724</v>
      </c>
      <c r="L31" s="32">
        <v>0.43027877164859352</v>
      </c>
      <c r="M31" s="32">
        <v>0.43734033044426857</v>
      </c>
    </row>
    <row r="32" spans="1:13" s="17" customFormat="1" x14ac:dyDescent="0.2">
      <c r="A32" s="21" t="s">
        <v>111</v>
      </c>
      <c r="B32" s="21" t="s">
        <v>110</v>
      </c>
      <c r="C32" s="30">
        <v>0.36857641888053477</v>
      </c>
      <c r="D32" s="30">
        <v>0.36949788957142859</v>
      </c>
      <c r="E32" s="30">
        <v>0.36877623809523813</v>
      </c>
      <c r="F32" s="30">
        <v>0.35307940700000007</v>
      </c>
      <c r="G32" s="30">
        <v>0.30204282773809527</v>
      </c>
      <c r="H32" s="30">
        <v>0.29180778571428573</v>
      </c>
      <c r="I32" s="30">
        <v>0.35293016090070201</v>
      </c>
      <c r="J32" s="30">
        <v>0.41292090792512914</v>
      </c>
      <c r="K32" s="30" t="e">
        <v>#N/A</v>
      </c>
      <c r="L32" s="30">
        <v>0.47021880952380951</v>
      </c>
      <c r="M32" s="30">
        <v>0.35448690476190475</v>
      </c>
    </row>
    <row r="33" spans="1:13" s="17" customFormat="1" x14ac:dyDescent="0.2">
      <c r="A33" s="17" t="s">
        <v>111</v>
      </c>
      <c r="B33" s="17" t="s">
        <v>110</v>
      </c>
      <c r="C33" s="31">
        <v>0.25</v>
      </c>
      <c r="D33" s="31">
        <v>0.25</v>
      </c>
      <c r="E33" s="31">
        <v>0.25</v>
      </c>
      <c r="F33" s="31">
        <v>0.25</v>
      </c>
      <c r="G33" s="31">
        <v>0.25</v>
      </c>
      <c r="H33" s="31">
        <v>0.25</v>
      </c>
      <c r="I33" s="31">
        <v>0.25</v>
      </c>
      <c r="J33" s="31">
        <v>0.25</v>
      </c>
      <c r="K33" s="31">
        <v>0</v>
      </c>
      <c r="L33" s="31">
        <v>0</v>
      </c>
      <c r="M33" s="31">
        <v>0</v>
      </c>
    </row>
    <row r="34" spans="1:13" s="17" customFormat="1" x14ac:dyDescent="0.2">
      <c r="A34" s="24" t="s">
        <v>111</v>
      </c>
      <c r="B34" s="24" t="s">
        <v>110</v>
      </c>
      <c r="C34" s="32">
        <v>0.40519510430181982</v>
      </c>
      <c r="D34" s="32">
        <v>0.40854741891657465</v>
      </c>
      <c r="E34" s="32">
        <v>0.41890847327931369</v>
      </c>
      <c r="F34" s="29" t="s">
        <v>142</v>
      </c>
      <c r="G34" s="32">
        <v>0.40514157445273752</v>
      </c>
      <c r="H34" s="32">
        <v>0.47003222571357622</v>
      </c>
      <c r="I34" s="32">
        <v>0.41902788806961011</v>
      </c>
      <c r="J34" s="29" t="s">
        <v>142</v>
      </c>
      <c r="K34" s="32">
        <v>0.44897274669228926</v>
      </c>
      <c r="L34" s="32">
        <v>0.46645923120116567</v>
      </c>
      <c r="M34" s="32">
        <v>0.46545520862471251</v>
      </c>
    </row>
    <row r="35" spans="1:13" s="17" customFormat="1" x14ac:dyDescent="0.2">
      <c r="A35" s="21" t="s">
        <v>113</v>
      </c>
      <c r="B35" s="21" t="s">
        <v>112</v>
      </c>
      <c r="C35" s="30">
        <v>0.38819365889724317</v>
      </c>
      <c r="D35" s="30">
        <v>0.38421035947619053</v>
      </c>
      <c r="E35" s="30">
        <v>0.35772461904761904</v>
      </c>
      <c r="F35" s="30">
        <v>0.30777140178571427</v>
      </c>
      <c r="G35" s="30">
        <v>0.27836121830952382</v>
      </c>
      <c r="H35" s="30">
        <v>0.29218515476190482</v>
      </c>
      <c r="I35" s="30">
        <v>0.40481900698742568</v>
      </c>
      <c r="J35" s="30">
        <v>0.4128572601855951</v>
      </c>
      <c r="K35" s="30">
        <v>0.38322222865278849</v>
      </c>
      <c r="L35" s="30">
        <v>0.40483428571428576</v>
      </c>
      <c r="M35" s="30">
        <v>0.36502034761904756</v>
      </c>
    </row>
    <row r="36" spans="1:13" s="17" customFormat="1" x14ac:dyDescent="0.2">
      <c r="A36" s="17" t="s">
        <v>113</v>
      </c>
      <c r="B36" s="17" t="s">
        <v>112</v>
      </c>
      <c r="C36" s="31">
        <v>0.25</v>
      </c>
      <c r="D36" s="31">
        <v>0.25</v>
      </c>
      <c r="E36" s="31">
        <v>0.25</v>
      </c>
      <c r="F36" s="31">
        <v>0.25</v>
      </c>
      <c r="G36" s="31">
        <v>0.25</v>
      </c>
      <c r="H36" s="31">
        <v>0.25</v>
      </c>
      <c r="I36" s="31">
        <v>0.25</v>
      </c>
      <c r="J36" s="31">
        <v>0.25</v>
      </c>
      <c r="K36" s="31">
        <v>0.25</v>
      </c>
      <c r="L36" s="31">
        <v>0.25</v>
      </c>
      <c r="M36" s="31">
        <v>0.25</v>
      </c>
    </row>
    <row r="37" spans="1:13" s="24" customFormat="1" x14ac:dyDescent="0.2">
      <c r="A37" s="24" t="s">
        <v>113</v>
      </c>
      <c r="B37" s="24" t="s">
        <v>112</v>
      </c>
      <c r="C37" s="32">
        <v>0.32743170183732406</v>
      </c>
      <c r="D37" s="32">
        <v>0.32027599105562476</v>
      </c>
      <c r="E37" s="32">
        <v>0.33014679795954727</v>
      </c>
      <c r="F37" s="29" t="s">
        <v>142</v>
      </c>
      <c r="G37" s="32">
        <v>0.33379228555706603</v>
      </c>
      <c r="H37" s="32">
        <v>0.45653690394509966</v>
      </c>
      <c r="I37" s="32">
        <v>0.35598266867186984</v>
      </c>
      <c r="J37" s="29" t="s">
        <v>142</v>
      </c>
      <c r="K37" s="32">
        <v>0.34279386996614819</v>
      </c>
      <c r="L37" s="32">
        <v>0.35904326394301972</v>
      </c>
      <c r="M37" s="32">
        <v>0.36581714112954072</v>
      </c>
    </row>
    <row r="38" spans="1:13" s="24" customFormat="1" x14ac:dyDescent="0.2">
      <c r="A38" s="21" t="s">
        <v>115</v>
      </c>
      <c r="B38" s="21" t="s">
        <v>114</v>
      </c>
      <c r="C38" s="30">
        <v>0.27016924482401666</v>
      </c>
      <c r="D38" s="30">
        <v>0.29352546304761906</v>
      </c>
      <c r="E38" s="30">
        <v>0.29971623809523812</v>
      </c>
      <c r="F38" s="30">
        <v>0.23577190297619047</v>
      </c>
      <c r="G38" s="30">
        <v>0.23664665504761903</v>
      </c>
      <c r="H38" s="30">
        <v>0.2362631857142857</v>
      </c>
      <c r="I38" s="30">
        <v>0.26163697532118585</v>
      </c>
      <c r="J38" s="30">
        <v>0.24487293999044812</v>
      </c>
      <c r="K38" s="30">
        <v>0.21810581461864845</v>
      </c>
      <c r="L38" s="30">
        <v>0.23271952380952382</v>
      </c>
      <c r="M38" s="30">
        <v>0.27853831666666667</v>
      </c>
    </row>
    <row r="39" spans="1:13" s="24" customFormat="1" x14ac:dyDescent="0.2">
      <c r="A39" s="17" t="s">
        <v>115</v>
      </c>
      <c r="B39" s="17" t="s">
        <v>114</v>
      </c>
      <c r="C39" s="31">
        <v>0.25</v>
      </c>
      <c r="D39" s="31">
        <v>0.25</v>
      </c>
      <c r="E39" s="31">
        <v>0.25</v>
      </c>
      <c r="F39" s="31">
        <v>0.25</v>
      </c>
      <c r="G39" s="31">
        <v>0.25</v>
      </c>
      <c r="H39" s="31">
        <v>0.25</v>
      </c>
      <c r="I39" s="31">
        <v>0.25</v>
      </c>
      <c r="J39" s="31">
        <v>0</v>
      </c>
      <c r="K39" s="31">
        <v>0</v>
      </c>
      <c r="L39" s="31">
        <v>0</v>
      </c>
      <c r="M39" s="31">
        <v>0.25</v>
      </c>
    </row>
    <row r="40" spans="1:13" s="24" customFormat="1" x14ac:dyDescent="0.2">
      <c r="A40" s="24" t="s">
        <v>115</v>
      </c>
      <c r="B40" s="24" t="s">
        <v>114</v>
      </c>
      <c r="C40" s="32">
        <v>0.30516177419848101</v>
      </c>
      <c r="D40" s="32">
        <v>0.3002626563745755</v>
      </c>
      <c r="E40" s="29"/>
      <c r="F40" s="29" t="s">
        <v>142</v>
      </c>
      <c r="G40" s="29"/>
      <c r="H40" s="29"/>
      <c r="I40" s="29"/>
      <c r="J40" s="29" t="s">
        <v>142</v>
      </c>
      <c r="K40" s="29"/>
      <c r="L40" s="29"/>
      <c r="M40" s="29"/>
    </row>
    <row r="41" spans="1:13" x14ac:dyDescent="0.2">
      <c r="C41" s="13" t="s">
        <v>89</v>
      </c>
      <c r="D41" s="13" t="s">
        <v>90</v>
      </c>
      <c r="E41" s="13" t="s">
        <v>91</v>
      </c>
      <c r="F41" s="13" t="s">
        <v>92</v>
      </c>
      <c r="G41" s="13" t="s">
        <v>93</v>
      </c>
      <c r="H41" s="13" t="s">
        <v>94</v>
      </c>
      <c r="I41" s="13" t="s">
        <v>95</v>
      </c>
      <c r="J41" s="13" t="s">
        <v>96</v>
      </c>
      <c r="K41" s="13" t="s">
        <v>97</v>
      </c>
      <c r="L41" s="13" t="s">
        <v>98</v>
      </c>
      <c r="M41" s="13" t="s">
        <v>99</v>
      </c>
    </row>
    <row r="42" spans="1:13" s="24" customFormat="1" x14ac:dyDescent="0.2">
      <c r="A42" s="21" t="s">
        <v>117</v>
      </c>
      <c r="B42" s="21" t="s">
        <v>143</v>
      </c>
      <c r="C42" s="30">
        <v>0.7687768908163265</v>
      </c>
      <c r="D42" s="30">
        <v>0.78844819754761897</v>
      </c>
      <c r="E42" s="30">
        <v>0.74775504761904765</v>
      </c>
      <c r="F42" s="30">
        <v>0.69528411685714275</v>
      </c>
      <c r="G42" s="30">
        <v>0.6676075345000001</v>
      </c>
      <c r="H42" s="30">
        <v>0.67239035952380966</v>
      </c>
      <c r="I42" s="30">
        <v>0.71541566071485363</v>
      </c>
      <c r="J42" s="30">
        <v>0.71434728362889877</v>
      </c>
      <c r="K42" s="30">
        <v>0.72981498172617021</v>
      </c>
      <c r="L42" s="30">
        <v>0.72693738095238103</v>
      </c>
      <c r="M42" s="30">
        <v>0.70363645238095229</v>
      </c>
    </row>
    <row r="43" spans="1:13" s="24" customFormat="1" x14ac:dyDescent="0.2">
      <c r="A43" s="17" t="s">
        <v>117</v>
      </c>
      <c r="B43" s="17" t="s">
        <v>144</v>
      </c>
      <c r="C43" s="31">
        <v>1</v>
      </c>
      <c r="D43" s="31">
        <v>1</v>
      </c>
      <c r="E43" s="31">
        <v>0.75</v>
      </c>
      <c r="F43" s="31">
        <v>0.75</v>
      </c>
      <c r="G43" s="31">
        <v>0.75</v>
      </c>
      <c r="H43" s="31">
        <v>0.75</v>
      </c>
      <c r="I43" s="31">
        <v>0.75</v>
      </c>
      <c r="J43" s="31">
        <v>0.75</v>
      </c>
      <c r="K43" s="31">
        <v>0.75</v>
      </c>
      <c r="L43" s="31">
        <v>0.75</v>
      </c>
      <c r="M43" s="31">
        <v>0.75</v>
      </c>
    </row>
    <row r="44" spans="1:13" s="24" customFormat="1" x14ac:dyDescent="0.2">
      <c r="A44" s="24" t="s">
        <v>117</v>
      </c>
      <c r="B44" s="24" t="s">
        <v>145</v>
      </c>
      <c r="C44" s="32">
        <v>0.73676390369047806</v>
      </c>
      <c r="D44" s="32">
        <v>0.72924970586359983</v>
      </c>
      <c r="E44" s="32">
        <v>0.72944979653839026</v>
      </c>
      <c r="F44" s="32">
        <v>0.72944979653839026</v>
      </c>
      <c r="G44" s="32">
        <v>0.74012694633700138</v>
      </c>
      <c r="H44" s="32">
        <v>0.65768224789591623</v>
      </c>
      <c r="I44" s="32">
        <v>0.76532964423775129</v>
      </c>
      <c r="J44" s="32">
        <v>0.76532964423775129</v>
      </c>
      <c r="K44" s="32">
        <v>0.781099570445563</v>
      </c>
      <c r="L44" s="32">
        <v>0.7835450923617574</v>
      </c>
      <c r="M44" s="32">
        <v>0.77653308683528177</v>
      </c>
    </row>
    <row r="45" spans="1:13" x14ac:dyDescent="0.2">
      <c r="B45" t="s">
        <v>148</v>
      </c>
      <c r="C45" s="20">
        <f>88.6255950927734/100</f>
        <v>0.8862559509277339</v>
      </c>
      <c r="D45" s="20">
        <f t="shared" ref="D45:M45" si="2">88.6255950927734/100</f>
        <v>0.8862559509277339</v>
      </c>
      <c r="E45" s="20">
        <f t="shared" si="2"/>
        <v>0.8862559509277339</v>
      </c>
      <c r="F45" s="20">
        <f t="shared" si="2"/>
        <v>0.8862559509277339</v>
      </c>
      <c r="G45" s="20">
        <f t="shared" si="2"/>
        <v>0.8862559509277339</v>
      </c>
      <c r="H45" s="20">
        <f t="shared" si="2"/>
        <v>0.8862559509277339</v>
      </c>
      <c r="I45" s="20">
        <f t="shared" si="2"/>
        <v>0.8862559509277339</v>
      </c>
      <c r="J45" s="20">
        <f t="shared" si="2"/>
        <v>0.8862559509277339</v>
      </c>
      <c r="K45" s="20">
        <f t="shared" si="2"/>
        <v>0.8862559509277339</v>
      </c>
      <c r="L45" s="20">
        <f t="shared" si="2"/>
        <v>0.8862559509277339</v>
      </c>
      <c r="M45" s="20">
        <f t="shared" si="2"/>
        <v>0.8862559509277339</v>
      </c>
    </row>
    <row r="50" spans="1:13" s="24" customFormat="1" x14ac:dyDescent="0.2">
      <c r="A50" s="21" t="s">
        <v>119</v>
      </c>
      <c r="B50" s="21" t="s">
        <v>118</v>
      </c>
      <c r="C50" s="30">
        <v>0.19427456997471548</v>
      </c>
      <c r="D50" s="30">
        <v>0.18951452061904761</v>
      </c>
      <c r="E50" s="30">
        <v>0.21705111904761906</v>
      </c>
      <c r="F50" s="30">
        <v>0.20691788530555558</v>
      </c>
      <c r="G50" s="30">
        <v>0.17215870392857141</v>
      </c>
      <c r="H50" s="30">
        <v>0.17253812857142856</v>
      </c>
      <c r="I50" s="30">
        <v>0.18701972129187999</v>
      </c>
      <c r="J50" s="30">
        <v>0.20317732581883524</v>
      </c>
      <c r="K50" s="30">
        <v>0.15397809194801676</v>
      </c>
      <c r="L50" s="30">
        <v>0.20389357142857145</v>
      </c>
      <c r="M50" s="30">
        <v>0.20165929523809528</v>
      </c>
    </row>
    <row r="51" spans="1:13" s="24" customFormat="1" x14ac:dyDescent="0.2">
      <c r="A51" s="17" t="s">
        <v>119</v>
      </c>
      <c r="B51" s="17" t="s">
        <v>118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</row>
    <row r="52" spans="1:13" s="24" customFormat="1" x14ac:dyDescent="0.2">
      <c r="A52" s="24" t="s">
        <v>119</v>
      </c>
      <c r="B52" s="24" t="s">
        <v>118</v>
      </c>
      <c r="C52" s="32">
        <v>0.27506415712181675</v>
      </c>
      <c r="D52" s="32">
        <v>0.29388549456668028</v>
      </c>
      <c r="E52" s="32">
        <v>0.30899726262327754</v>
      </c>
      <c r="F52" s="29" t="s">
        <v>142</v>
      </c>
      <c r="G52" s="32">
        <v>0.31746916579071771</v>
      </c>
      <c r="H52" s="32">
        <v>0.22520604739163175</v>
      </c>
      <c r="I52" s="32">
        <v>0.24564941290292597</v>
      </c>
      <c r="J52" s="29" t="s">
        <v>142</v>
      </c>
      <c r="K52" s="32">
        <v>0.27390902374749759</v>
      </c>
      <c r="L52" s="32">
        <v>0.29688650758587704</v>
      </c>
      <c r="M52" s="32">
        <v>0.32318642085720856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21653-0C8C-7D46-99FB-6E7EE3A18F00}">
  <dimension ref="A2:AC75"/>
  <sheetViews>
    <sheetView zoomScale="89" workbookViewId="0">
      <selection activeCell="D73" sqref="D73"/>
    </sheetView>
  </sheetViews>
  <sheetFormatPr baseColWidth="10" defaultRowHeight="16" x14ac:dyDescent="0.2"/>
  <cols>
    <col min="1" max="1" width="3.6640625" customWidth="1"/>
    <col min="2" max="2" width="8.1640625" style="13" customWidth="1"/>
    <col min="3" max="3" width="6.33203125" customWidth="1"/>
    <col min="4" max="4" width="79.83203125" style="42" customWidth="1"/>
    <col min="5" max="15" width="10.83203125" style="13"/>
    <col min="16" max="28" width="0" style="13" hidden="1" customWidth="1"/>
    <col min="29" max="29" width="10.83203125" style="13"/>
  </cols>
  <sheetData>
    <row r="2" spans="1:29" s="44" customFormat="1" ht="17" x14ac:dyDescent="0.2">
      <c r="B2" s="45"/>
      <c r="D2" s="38" t="s">
        <v>53</v>
      </c>
      <c r="E2" s="14">
        <v>2022</v>
      </c>
      <c r="F2" s="14">
        <v>2021</v>
      </c>
      <c r="G2" s="14">
        <v>2020</v>
      </c>
      <c r="H2" s="14">
        <v>2019</v>
      </c>
      <c r="I2" s="14">
        <v>2018</v>
      </c>
      <c r="J2" s="14">
        <v>2017</v>
      </c>
      <c r="K2" s="14">
        <v>2016</v>
      </c>
      <c r="L2" s="14">
        <v>2015</v>
      </c>
      <c r="M2" s="14">
        <v>2014</v>
      </c>
      <c r="N2" s="14">
        <v>2013</v>
      </c>
      <c r="O2" s="14">
        <v>2012</v>
      </c>
      <c r="P2" s="14">
        <v>2011</v>
      </c>
      <c r="Q2" s="14">
        <v>2010</v>
      </c>
      <c r="R2" s="14">
        <v>2009</v>
      </c>
      <c r="S2" s="14">
        <v>2008</v>
      </c>
      <c r="T2" s="14">
        <v>2007</v>
      </c>
      <c r="U2" s="14">
        <v>2006</v>
      </c>
      <c r="V2" s="14">
        <v>2005</v>
      </c>
      <c r="W2" s="14">
        <v>2004</v>
      </c>
      <c r="X2" s="14">
        <v>2003</v>
      </c>
      <c r="Y2" s="14">
        <v>2002</v>
      </c>
      <c r="Z2" s="14">
        <v>2000</v>
      </c>
      <c r="AA2" s="14">
        <v>1998</v>
      </c>
      <c r="AB2" s="14">
        <v>1996</v>
      </c>
      <c r="AC2" s="45"/>
    </row>
    <row r="4" spans="1:29" ht="17" x14ac:dyDescent="0.2">
      <c r="A4">
        <v>1</v>
      </c>
      <c r="B4" s="13" t="s">
        <v>171</v>
      </c>
      <c r="C4" s="24">
        <v>1</v>
      </c>
      <c r="D4" s="39" t="s">
        <v>49</v>
      </c>
      <c r="E4" s="40">
        <v>2022</v>
      </c>
      <c r="F4" s="40">
        <v>2021</v>
      </c>
      <c r="G4" s="40">
        <v>2020</v>
      </c>
      <c r="H4" s="46">
        <v>2019</v>
      </c>
      <c r="I4" s="46">
        <v>2018</v>
      </c>
      <c r="J4" s="47">
        <v>2017</v>
      </c>
      <c r="K4" s="47">
        <v>2016</v>
      </c>
      <c r="L4" s="46">
        <v>2015</v>
      </c>
      <c r="M4" s="46">
        <v>2014</v>
      </c>
      <c r="N4" s="47">
        <v>2013</v>
      </c>
      <c r="O4" s="47">
        <v>2012</v>
      </c>
      <c r="P4" s="40">
        <v>2011</v>
      </c>
      <c r="Q4" s="40">
        <v>2010</v>
      </c>
      <c r="R4" s="40">
        <v>2009</v>
      </c>
      <c r="S4" s="40">
        <v>2008</v>
      </c>
      <c r="T4" s="40">
        <v>2007</v>
      </c>
      <c r="U4" s="40">
        <v>2006</v>
      </c>
      <c r="V4" s="40">
        <v>2005</v>
      </c>
      <c r="W4" s="40">
        <v>2004</v>
      </c>
      <c r="X4" s="40">
        <v>2003</v>
      </c>
      <c r="Y4" s="40">
        <v>2002</v>
      </c>
      <c r="Z4" s="40">
        <v>2000</v>
      </c>
      <c r="AA4" s="40">
        <v>1998</v>
      </c>
      <c r="AB4" s="40">
        <v>1996</v>
      </c>
    </row>
    <row r="5" spans="1:29" ht="17" x14ac:dyDescent="0.2">
      <c r="D5" s="41" t="s">
        <v>45</v>
      </c>
      <c r="E5" s="40" t="s">
        <v>47</v>
      </c>
      <c r="F5" s="40" t="s">
        <v>47</v>
      </c>
      <c r="G5" s="40" t="s">
        <v>47</v>
      </c>
      <c r="H5" s="40" t="s">
        <v>47</v>
      </c>
      <c r="I5" s="40" t="s">
        <v>47</v>
      </c>
      <c r="J5" s="40" t="s">
        <v>47</v>
      </c>
      <c r="K5" s="40" t="s">
        <v>47</v>
      </c>
      <c r="L5" s="40" t="s">
        <v>47</v>
      </c>
      <c r="M5" s="40" t="s">
        <v>47</v>
      </c>
      <c r="N5" s="40" t="s">
        <v>47</v>
      </c>
      <c r="O5" s="40" t="s">
        <v>47</v>
      </c>
      <c r="P5" s="40" t="s">
        <v>47</v>
      </c>
      <c r="Q5" s="40" t="s">
        <v>47</v>
      </c>
      <c r="R5" s="40" t="s">
        <v>47</v>
      </c>
      <c r="S5" s="40" t="s">
        <v>47</v>
      </c>
      <c r="T5" s="40" t="s">
        <v>47</v>
      </c>
      <c r="U5" s="40" t="s">
        <v>47</v>
      </c>
      <c r="V5" s="40" t="s">
        <v>47</v>
      </c>
      <c r="W5" s="40" t="s">
        <v>47</v>
      </c>
      <c r="X5" s="40" t="s">
        <v>47</v>
      </c>
      <c r="Y5" s="40" t="s">
        <v>48</v>
      </c>
      <c r="Z5" s="40" t="s">
        <v>48</v>
      </c>
      <c r="AA5" s="40" t="s">
        <v>48</v>
      </c>
      <c r="AB5" s="40" t="s">
        <v>48</v>
      </c>
    </row>
    <row r="6" spans="1:29" ht="17" x14ac:dyDescent="0.2">
      <c r="D6" s="41" t="s">
        <v>46</v>
      </c>
      <c r="E6" s="40" t="s">
        <v>48</v>
      </c>
      <c r="F6" s="40" t="s">
        <v>48</v>
      </c>
      <c r="G6" s="40" t="s">
        <v>48</v>
      </c>
      <c r="H6" s="40" t="s">
        <v>48</v>
      </c>
      <c r="I6" s="40" t="s">
        <v>48</v>
      </c>
      <c r="J6" s="40" t="s">
        <v>48</v>
      </c>
      <c r="K6" s="40" t="s">
        <v>48</v>
      </c>
      <c r="L6" s="40" t="s">
        <v>47</v>
      </c>
      <c r="M6" s="40" t="s">
        <v>47</v>
      </c>
      <c r="N6" s="40" t="s">
        <v>47</v>
      </c>
      <c r="O6" s="40" t="s">
        <v>47</v>
      </c>
      <c r="P6" s="40" t="s">
        <v>47</v>
      </c>
      <c r="Q6" s="40" t="s">
        <v>47</v>
      </c>
      <c r="R6" s="40" t="s">
        <v>47</v>
      </c>
      <c r="S6" s="40" t="s">
        <v>47</v>
      </c>
      <c r="T6" s="40" t="s">
        <v>47</v>
      </c>
      <c r="U6" s="40" t="s">
        <v>47</v>
      </c>
      <c r="V6" s="40" t="s">
        <v>47</v>
      </c>
      <c r="W6" s="40" t="s">
        <v>47</v>
      </c>
      <c r="X6" s="40" t="s">
        <v>47</v>
      </c>
      <c r="Y6" s="40" t="s">
        <v>48</v>
      </c>
      <c r="Z6" s="40" t="s">
        <v>48</v>
      </c>
      <c r="AA6" s="40" t="s">
        <v>48</v>
      </c>
      <c r="AB6" s="40" t="s">
        <v>48</v>
      </c>
    </row>
    <row r="7" spans="1:29" x14ac:dyDescent="0.2">
      <c r="E7" s="13">
        <v>10</v>
      </c>
      <c r="F7" s="13">
        <v>10</v>
      </c>
      <c r="G7" s="13">
        <v>10</v>
      </c>
      <c r="H7" s="13">
        <v>10</v>
      </c>
      <c r="I7" s="13">
        <v>10</v>
      </c>
      <c r="J7" s="13">
        <v>10</v>
      </c>
      <c r="K7" s="13">
        <v>10</v>
      </c>
      <c r="L7" s="13">
        <v>10</v>
      </c>
      <c r="M7" s="13">
        <v>10</v>
      </c>
      <c r="N7" s="13">
        <v>10</v>
      </c>
      <c r="O7" s="13">
        <v>10</v>
      </c>
    </row>
    <row r="9" spans="1:29" ht="17" x14ac:dyDescent="0.2">
      <c r="A9">
        <v>2</v>
      </c>
      <c r="B9" s="27" t="s">
        <v>172</v>
      </c>
      <c r="C9" s="24">
        <v>2</v>
      </c>
      <c r="D9" s="39" t="s">
        <v>14</v>
      </c>
      <c r="E9" s="40">
        <v>2022</v>
      </c>
      <c r="F9" s="40">
        <v>2021</v>
      </c>
      <c r="G9" s="40">
        <v>2020</v>
      </c>
      <c r="H9" s="40">
        <v>2019</v>
      </c>
      <c r="I9" s="40">
        <v>2018</v>
      </c>
      <c r="J9" s="40">
        <v>2017</v>
      </c>
      <c r="K9" s="40">
        <v>2016</v>
      </c>
      <c r="L9" s="40">
        <v>2015</v>
      </c>
      <c r="M9" s="40">
        <v>2014</v>
      </c>
      <c r="N9" s="40">
        <v>2013</v>
      </c>
      <c r="O9" s="40">
        <v>2012</v>
      </c>
      <c r="P9" s="40">
        <v>2011</v>
      </c>
      <c r="Q9" s="40">
        <v>2010</v>
      </c>
      <c r="R9" s="40">
        <v>2009</v>
      </c>
      <c r="S9" s="40">
        <v>2008</v>
      </c>
      <c r="T9" s="40">
        <v>2007</v>
      </c>
      <c r="U9" s="40">
        <v>2006</v>
      </c>
      <c r="V9" s="40">
        <v>2005</v>
      </c>
      <c r="W9" s="40">
        <v>2004</v>
      </c>
      <c r="X9" s="40">
        <v>2003</v>
      </c>
      <c r="Y9" s="40">
        <v>2002</v>
      </c>
      <c r="Z9" s="40">
        <v>2000</v>
      </c>
      <c r="AA9" s="40">
        <v>1998</v>
      </c>
      <c r="AB9" s="40">
        <v>1996</v>
      </c>
    </row>
    <row r="10" spans="1:29" ht="17" x14ac:dyDescent="0.2">
      <c r="D10" s="41" t="s">
        <v>52</v>
      </c>
      <c r="E10" s="40" t="s">
        <v>47</v>
      </c>
      <c r="F10" s="40" t="s">
        <v>47</v>
      </c>
      <c r="G10" s="40" t="s">
        <v>47</v>
      </c>
      <c r="H10" s="40" t="s">
        <v>47</v>
      </c>
      <c r="I10" s="40" t="s">
        <v>47</v>
      </c>
      <c r="J10" s="40" t="s">
        <v>47</v>
      </c>
      <c r="K10" s="40" t="s">
        <v>47</v>
      </c>
      <c r="L10" s="40" t="s">
        <v>47</v>
      </c>
      <c r="M10" s="40" t="s">
        <v>47</v>
      </c>
      <c r="N10" s="40" t="s">
        <v>47</v>
      </c>
      <c r="O10" s="40" t="s">
        <v>47</v>
      </c>
      <c r="P10" s="40" t="s">
        <v>47</v>
      </c>
      <c r="Q10" s="40" t="s">
        <v>47</v>
      </c>
      <c r="R10" s="40" t="s">
        <v>47</v>
      </c>
      <c r="S10" s="40" t="s">
        <v>47</v>
      </c>
      <c r="T10" s="40" t="s">
        <v>47</v>
      </c>
      <c r="U10" s="40" t="s">
        <v>47</v>
      </c>
      <c r="V10" s="40" t="s">
        <v>47</v>
      </c>
      <c r="W10" s="40" t="s">
        <v>47</v>
      </c>
      <c r="X10" s="40" t="s">
        <v>47</v>
      </c>
      <c r="Y10" s="40" t="s">
        <v>47</v>
      </c>
      <c r="Z10" s="40" t="s">
        <v>47</v>
      </c>
      <c r="AA10" s="40" t="s">
        <v>47</v>
      </c>
      <c r="AB10" s="40" t="s">
        <v>47</v>
      </c>
    </row>
    <row r="11" spans="1:29" x14ac:dyDescent="0.2">
      <c r="E11" s="13">
        <v>10</v>
      </c>
      <c r="F11" s="13">
        <v>10</v>
      </c>
      <c r="G11" s="13">
        <v>10</v>
      </c>
      <c r="H11" s="13">
        <v>10</v>
      </c>
      <c r="I11" s="13">
        <v>10</v>
      </c>
      <c r="J11" s="13">
        <v>10</v>
      </c>
      <c r="K11" s="13">
        <v>10</v>
      </c>
      <c r="L11" s="13">
        <v>10</v>
      </c>
      <c r="M11" s="13">
        <v>10</v>
      </c>
      <c r="N11" s="13">
        <v>10</v>
      </c>
      <c r="O11" s="13">
        <v>10</v>
      </c>
    </row>
    <row r="13" spans="1:29" ht="17" x14ac:dyDescent="0.2">
      <c r="A13">
        <v>3</v>
      </c>
      <c r="B13" s="27" t="s">
        <v>172</v>
      </c>
      <c r="C13" s="24">
        <v>3</v>
      </c>
      <c r="D13" s="39" t="s">
        <v>55</v>
      </c>
      <c r="E13" s="40">
        <v>2022</v>
      </c>
      <c r="F13" s="40">
        <v>2021</v>
      </c>
      <c r="G13" s="40">
        <v>2020</v>
      </c>
      <c r="H13" s="40">
        <v>2019</v>
      </c>
      <c r="I13" s="40">
        <v>2018</v>
      </c>
      <c r="J13" s="40">
        <v>2017</v>
      </c>
      <c r="K13" s="40">
        <v>2016</v>
      </c>
      <c r="L13" s="40">
        <v>2015</v>
      </c>
      <c r="M13" s="40">
        <v>2014</v>
      </c>
      <c r="N13" s="40">
        <v>2013</v>
      </c>
      <c r="O13" s="40">
        <v>2012</v>
      </c>
      <c r="P13" s="40">
        <v>2011</v>
      </c>
      <c r="Q13" s="40">
        <v>2010</v>
      </c>
      <c r="R13" s="40">
        <v>2009</v>
      </c>
      <c r="S13" s="40">
        <v>2008</v>
      </c>
      <c r="T13" s="40">
        <v>2007</v>
      </c>
      <c r="U13" s="40">
        <v>2006</v>
      </c>
      <c r="V13" s="40">
        <v>2005</v>
      </c>
      <c r="W13" s="40">
        <v>2004</v>
      </c>
      <c r="X13" s="40">
        <v>2003</v>
      </c>
      <c r="Y13" s="40">
        <v>2002</v>
      </c>
      <c r="Z13" s="40">
        <v>2000</v>
      </c>
      <c r="AA13" s="40">
        <v>1998</v>
      </c>
      <c r="AB13" s="40">
        <v>1996</v>
      </c>
    </row>
    <row r="14" spans="1:29" ht="17" x14ac:dyDescent="0.2">
      <c r="D14" s="41" t="s">
        <v>56</v>
      </c>
      <c r="E14" s="40" t="s">
        <v>48</v>
      </c>
      <c r="F14" s="40" t="s">
        <v>47</v>
      </c>
      <c r="G14" s="40" t="s">
        <v>47</v>
      </c>
      <c r="H14" s="40" t="s">
        <v>47</v>
      </c>
      <c r="I14" s="40" t="s">
        <v>47</v>
      </c>
      <c r="J14" s="40" t="s">
        <v>47</v>
      </c>
      <c r="K14" s="40" t="s">
        <v>47</v>
      </c>
      <c r="L14" s="40" t="s">
        <v>47</v>
      </c>
      <c r="M14" s="40" t="s">
        <v>47</v>
      </c>
      <c r="N14" s="40" t="s">
        <v>47</v>
      </c>
      <c r="O14" s="40" t="s">
        <v>47</v>
      </c>
      <c r="P14" s="40" t="s">
        <v>47</v>
      </c>
      <c r="Q14" s="40" t="s">
        <v>47</v>
      </c>
      <c r="R14" s="40" t="s">
        <v>47</v>
      </c>
      <c r="S14" s="40" t="s">
        <v>47</v>
      </c>
      <c r="T14" s="40" t="s">
        <v>47</v>
      </c>
      <c r="U14" s="40" t="s">
        <v>47</v>
      </c>
      <c r="V14" s="40" t="s">
        <v>47</v>
      </c>
      <c r="W14" s="40" t="s">
        <v>47</v>
      </c>
      <c r="X14" s="40" t="s">
        <v>47</v>
      </c>
      <c r="Y14" s="40" t="s">
        <v>47</v>
      </c>
      <c r="Z14" s="40" t="s">
        <v>47</v>
      </c>
      <c r="AA14" s="40" t="s">
        <v>48</v>
      </c>
      <c r="AB14" s="40" t="s">
        <v>48</v>
      </c>
    </row>
    <row r="15" spans="1:29" ht="17" x14ac:dyDescent="0.2">
      <c r="D15" s="41" t="s">
        <v>57</v>
      </c>
      <c r="E15" s="40" t="s">
        <v>47</v>
      </c>
      <c r="F15" s="40" t="s">
        <v>47</v>
      </c>
      <c r="G15" s="40" t="s">
        <v>47</v>
      </c>
      <c r="H15" s="40" t="s">
        <v>47</v>
      </c>
      <c r="I15" s="40" t="s">
        <v>47</v>
      </c>
      <c r="J15" s="40" t="s">
        <v>47</v>
      </c>
      <c r="K15" s="40" t="s">
        <v>47</v>
      </c>
      <c r="L15" s="40" t="s">
        <v>47</v>
      </c>
      <c r="M15" s="40" t="s">
        <v>47</v>
      </c>
      <c r="N15" s="40" t="s">
        <v>47</v>
      </c>
      <c r="O15" s="40" t="s">
        <v>47</v>
      </c>
      <c r="P15" s="40" t="s">
        <v>47</v>
      </c>
      <c r="Q15" s="40" t="s">
        <v>47</v>
      </c>
      <c r="R15" s="40" t="s">
        <v>47</v>
      </c>
      <c r="S15" s="40" t="s">
        <v>47</v>
      </c>
      <c r="T15" s="40" t="s">
        <v>47</v>
      </c>
      <c r="U15" s="40" t="s">
        <v>47</v>
      </c>
      <c r="V15" s="40" t="s">
        <v>47</v>
      </c>
      <c r="W15" s="40" t="s">
        <v>47</v>
      </c>
      <c r="X15" s="40" t="s">
        <v>47</v>
      </c>
      <c r="Y15" s="40" t="s">
        <v>47</v>
      </c>
      <c r="Z15" s="40" t="s">
        <v>48</v>
      </c>
      <c r="AA15" s="40" t="s">
        <v>48</v>
      </c>
      <c r="AB15" s="40" t="s">
        <v>48</v>
      </c>
    </row>
    <row r="16" spans="1:29" ht="17" x14ac:dyDescent="0.2">
      <c r="D16" s="41" t="s">
        <v>58</v>
      </c>
      <c r="E16" s="40" t="s">
        <v>47</v>
      </c>
      <c r="F16" s="40" t="s">
        <v>47</v>
      </c>
      <c r="G16" s="40" t="s">
        <v>47</v>
      </c>
      <c r="H16" s="40" t="s">
        <v>47</v>
      </c>
      <c r="I16" s="40" t="s">
        <v>47</v>
      </c>
      <c r="J16" s="40" t="s">
        <v>47</v>
      </c>
      <c r="K16" s="40" t="s">
        <v>47</v>
      </c>
      <c r="L16" s="40" t="s">
        <v>47</v>
      </c>
      <c r="M16" s="40" t="s">
        <v>47</v>
      </c>
      <c r="N16" s="40" t="s">
        <v>47</v>
      </c>
      <c r="O16" s="40" t="s">
        <v>47</v>
      </c>
      <c r="P16" s="40" t="s">
        <v>47</v>
      </c>
      <c r="Q16" s="40" t="s">
        <v>47</v>
      </c>
      <c r="R16" s="40" t="s">
        <v>47</v>
      </c>
      <c r="S16" s="40" t="s">
        <v>47</v>
      </c>
      <c r="T16" s="40" t="s">
        <v>47</v>
      </c>
      <c r="U16" s="40" t="s">
        <v>47</v>
      </c>
      <c r="V16" s="40" t="s">
        <v>47</v>
      </c>
      <c r="W16" s="40" t="s">
        <v>47</v>
      </c>
      <c r="X16" s="40" t="s">
        <v>47</v>
      </c>
      <c r="Y16" s="40" t="s">
        <v>47</v>
      </c>
      <c r="Z16" s="40" t="s">
        <v>47</v>
      </c>
      <c r="AA16" s="40" t="s">
        <v>47</v>
      </c>
      <c r="AB16" s="40" t="s">
        <v>47</v>
      </c>
    </row>
    <row r="17" spans="1:28" ht="17" x14ac:dyDescent="0.2">
      <c r="D17" s="41" t="s">
        <v>59</v>
      </c>
      <c r="E17" s="40" t="s">
        <v>47</v>
      </c>
      <c r="F17" s="40" t="s">
        <v>47</v>
      </c>
      <c r="G17" s="40" t="s">
        <v>47</v>
      </c>
      <c r="H17" s="40" t="s">
        <v>47</v>
      </c>
      <c r="I17" s="40" t="s">
        <v>47</v>
      </c>
      <c r="J17" s="40" t="s">
        <v>47</v>
      </c>
      <c r="K17" s="40" t="s">
        <v>47</v>
      </c>
      <c r="L17" s="40" t="s">
        <v>47</v>
      </c>
      <c r="M17" s="40" t="s">
        <v>47</v>
      </c>
      <c r="N17" s="40" t="s">
        <v>47</v>
      </c>
      <c r="O17" s="40" t="s">
        <v>47</v>
      </c>
      <c r="P17" s="40" t="s">
        <v>47</v>
      </c>
      <c r="Q17" s="40" t="s">
        <v>47</v>
      </c>
      <c r="R17" s="40" t="s">
        <v>47</v>
      </c>
      <c r="S17" s="40" t="s">
        <v>47</v>
      </c>
      <c r="T17" s="40" t="s">
        <v>47</v>
      </c>
      <c r="U17" s="40" t="s">
        <v>47</v>
      </c>
      <c r="V17" s="40" t="s">
        <v>47</v>
      </c>
      <c r="W17" s="40" t="s">
        <v>47</v>
      </c>
      <c r="X17" s="40" t="s">
        <v>47</v>
      </c>
      <c r="Y17" s="40" t="s">
        <v>47</v>
      </c>
      <c r="Z17" s="40" t="s">
        <v>47</v>
      </c>
      <c r="AA17" s="40" t="s">
        <v>48</v>
      </c>
      <c r="AB17" s="40" t="s">
        <v>48</v>
      </c>
    </row>
    <row r="18" spans="1:28" ht="17" x14ac:dyDescent="0.2">
      <c r="D18" s="41" t="s">
        <v>60</v>
      </c>
      <c r="E18" s="40" t="s">
        <v>47</v>
      </c>
      <c r="F18" s="40" t="s">
        <v>47</v>
      </c>
      <c r="G18" s="40" t="s">
        <v>47</v>
      </c>
      <c r="H18" s="40" t="s">
        <v>47</v>
      </c>
      <c r="I18" s="40" t="s">
        <v>47</v>
      </c>
      <c r="J18" s="40" t="s">
        <v>47</v>
      </c>
      <c r="K18" s="40" t="s">
        <v>47</v>
      </c>
      <c r="L18" s="40" t="s">
        <v>47</v>
      </c>
      <c r="M18" s="40" t="s">
        <v>47</v>
      </c>
      <c r="N18" s="40" t="s">
        <v>47</v>
      </c>
      <c r="O18" s="40" t="s">
        <v>47</v>
      </c>
      <c r="P18" s="40" t="s">
        <v>47</v>
      </c>
      <c r="Q18" s="40" t="s">
        <v>47</v>
      </c>
      <c r="R18" s="40" t="s">
        <v>47</v>
      </c>
      <c r="S18" s="40" t="s">
        <v>47</v>
      </c>
      <c r="T18" s="40" t="s">
        <v>47</v>
      </c>
      <c r="U18" s="40" t="s">
        <v>47</v>
      </c>
      <c r="V18" s="40" t="s">
        <v>47</v>
      </c>
      <c r="W18" s="40" t="s">
        <v>47</v>
      </c>
      <c r="X18" s="40" t="s">
        <v>47</v>
      </c>
      <c r="Y18" s="40" t="s">
        <v>47</v>
      </c>
      <c r="Z18" s="40" t="s">
        <v>47</v>
      </c>
      <c r="AA18" s="40" t="s">
        <v>48</v>
      </c>
      <c r="AB18" s="40" t="s">
        <v>48</v>
      </c>
    </row>
    <row r="19" spans="1:28" ht="17" x14ac:dyDescent="0.2">
      <c r="D19" s="41" t="s">
        <v>61</v>
      </c>
      <c r="E19" s="40" t="s">
        <v>47</v>
      </c>
      <c r="F19" s="40" t="s">
        <v>47</v>
      </c>
      <c r="G19" s="40" t="s">
        <v>47</v>
      </c>
      <c r="H19" s="40" t="s">
        <v>47</v>
      </c>
      <c r="I19" s="40" t="s">
        <v>47</v>
      </c>
      <c r="J19" s="40" t="s">
        <v>47</v>
      </c>
      <c r="K19" s="40" t="s">
        <v>47</v>
      </c>
      <c r="L19" s="40" t="s">
        <v>47</v>
      </c>
      <c r="M19" s="40" t="s">
        <v>47</v>
      </c>
      <c r="N19" s="40" t="s">
        <v>47</v>
      </c>
      <c r="O19" s="40" t="s">
        <v>47</v>
      </c>
      <c r="P19" s="40" t="s">
        <v>47</v>
      </c>
      <c r="Q19" s="40" t="s">
        <v>47</v>
      </c>
      <c r="R19" s="40" t="s">
        <v>47</v>
      </c>
      <c r="S19" s="40" t="s">
        <v>47</v>
      </c>
      <c r="T19" s="40" t="s">
        <v>47</v>
      </c>
      <c r="U19" s="40" t="s">
        <v>47</v>
      </c>
      <c r="V19" s="40" t="s">
        <v>47</v>
      </c>
      <c r="W19" s="40" t="s">
        <v>47</v>
      </c>
      <c r="X19" s="40" t="s">
        <v>47</v>
      </c>
      <c r="Y19" s="40" t="s">
        <v>47</v>
      </c>
      <c r="Z19" s="40" t="s">
        <v>47</v>
      </c>
      <c r="AA19" s="40" t="s">
        <v>48</v>
      </c>
      <c r="AB19" s="40" t="s">
        <v>48</v>
      </c>
    </row>
    <row r="20" spans="1:28" ht="17" x14ac:dyDescent="0.2">
      <c r="D20" s="41" t="s">
        <v>62</v>
      </c>
      <c r="E20" s="40" t="s">
        <v>47</v>
      </c>
      <c r="F20" s="40" t="s">
        <v>47</v>
      </c>
      <c r="G20" s="40" t="s">
        <v>47</v>
      </c>
      <c r="H20" s="40" t="s">
        <v>47</v>
      </c>
      <c r="I20" s="40" t="s">
        <v>47</v>
      </c>
      <c r="J20" s="40" t="s">
        <v>47</v>
      </c>
      <c r="K20" s="40" t="s">
        <v>47</v>
      </c>
      <c r="L20" s="40" t="s">
        <v>47</v>
      </c>
      <c r="M20" s="40" t="s">
        <v>47</v>
      </c>
      <c r="N20" s="40" t="s">
        <v>47</v>
      </c>
      <c r="O20" s="40" t="s">
        <v>47</v>
      </c>
      <c r="P20" s="40" t="s">
        <v>47</v>
      </c>
      <c r="Q20" s="40" t="s">
        <v>47</v>
      </c>
      <c r="R20" s="40" t="s">
        <v>47</v>
      </c>
      <c r="S20" s="40" t="s">
        <v>47</v>
      </c>
      <c r="T20" s="40" t="s">
        <v>47</v>
      </c>
      <c r="U20" s="40" t="s">
        <v>47</v>
      </c>
      <c r="V20" s="40" t="s">
        <v>47</v>
      </c>
      <c r="W20" s="40" t="s">
        <v>47</v>
      </c>
      <c r="X20" s="40" t="s">
        <v>47</v>
      </c>
      <c r="Y20" s="40" t="s">
        <v>47</v>
      </c>
      <c r="Z20" s="40" t="s">
        <v>48</v>
      </c>
      <c r="AA20" s="40" t="s">
        <v>47</v>
      </c>
      <c r="AB20" s="40" t="s">
        <v>48</v>
      </c>
    </row>
    <row r="21" spans="1:28" ht="17" x14ac:dyDescent="0.2">
      <c r="D21" s="41" t="s">
        <v>63</v>
      </c>
      <c r="E21" s="40" t="s">
        <v>48</v>
      </c>
      <c r="F21" s="40" t="s">
        <v>48</v>
      </c>
      <c r="G21" s="40" t="s">
        <v>48</v>
      </c>
      <c r="H21" s="40" t="s">
        <v>48</v>
      </c>
      <c r="I21" s="40" t="s">
        <v>48</v>
      </c>
      <c r="J21" s="40" t="s">
        <v>48</v>
      </c>
      <c r="K21" s="40" t="s">
        <v>48</v>
      </c>
      <c r="L21" s="40" t="s">
        <v>48</v>
      </c>
      <c r="M21" s="40" t="s">
        <v>48</v>
      </c>
      <c r="N21" s="40" t="s">
        <v>48</v>
      </c>
      <c r="O21" s="40" t="s">
        <v>48</v>
      </c>
      <c r="P21" s="40" t="s">
        <v>47</v>
      </c>
      <c r="Q21" s="40" t="s">
        <v>47</v>
      </c>
      <c r="R21" s="40" t="s">
        <v>47</v>
      </c>
      <c r="S21" s="40" t="s">
        <v>47</v>
      </c>
      <c r="T21" s="40" t="s">
        <v>47</v>
      </c>
      <c r="U21" s="40" t="s">
        <v>47</v>
      </c>
      <c r="V21" s="40" t="s">
        <v>47</v>
      </c>
      <c r="W21" s="40" t="s">
        <v>47</v>
      </c>
      <c r="X21" s="40" t="s">
        <v>47</v>
      </c>
      <c r="Y21" s="40" t="s">
        <v>47</v>
      </c>
      <c r="Z21" s="40" t="s">
        <v>47</v>
      </c>
      <c r="AA21" s="40" t="s">
        <v>48</v>
      </c>
      <c r="AB21" s="40" t="s">
        <v>48</v>
      </c>
    </row>
    <row r="22" spans="1:28" x14ac:dyDescent="0.2">
      <c r="E22" s="13">
        <v>10</v>
      </c>
      <c r="F22" s="13">
        <v>10</v>
      </c>
      <c r="G22" s="13">
        <v>10</v>
      </c>
      <c r="H22" s="13">
        <v>10</v>
      </c>
      <c r="I22" s="13">
        <v>10</v>
      </c>
      <c r="J22" s="13">
        <v>10</v>
      </c>
      <c r="K22" s="13">
        <v>10</v>
      </c>
      <c r="L22" s="13">
        <v>10</v>
      </c>
      <c r="M22" s="13">
        <v>10</v>
      </c>
      <c r="N22" s="13">
        <v>10</v>
      </c>
      <c r="O22" s="13">
        <v>10</v>
      </c>
    </row>
    <row r="24" spans="1:28" ht="17" x14ac:dyDescent="0.2">
      <c r="A24">
        <v>4</v>
      </c>
      <c r="B24" s="13" t="s">
        <v>172</v>
      </c>
      <c r="C24" s="51"/>
      <c r="D24" s="39" t="s">
        <v>64</v>
      </c>
      <c r="E24" s="40">
        <v>2022</v>
      </c>
      <c r="F24" s="40">
        <v>2021</v>
      </c>
      <c r="G24" s="40">
        <v>2020</v>
      </c>
      <c r="H24" s="40">
        <v>2019</v>
      </c>
      <c r="I24" s="40">
        <v>2018</v>
      </c>
      <c r="J24" s="40">
        <v>2017</v>
      </c>
      <c r="K24" s="40">
        <v>2016</v>
      </c>
      <c r="L24" s="40">
        <v>2015</v>
      </c>
      <c r="M24" s="40">
        <v>2014</v>
      </c>
      <c r="N24" s="40">
        <v>2013</v>
      </c>
      <c r="O24" s="40">
        <v>2012</v>
      </c>
      <c r="P24" s="40">
        <v>2011</v>
      </c>
      <c r="Q24" s="40">
        <v>2010</v>
      </c>
      <c r="R24" s="40">
        <v>2009</v>
      </c>
      <c r="S24" s="40">
        <v>2008</v>
      </c>
      <c r="T24" s="40">
        <v>2007</v>
      </c>
      <c r="U24" s="40">
        <v>2006</v>
      </c>
      <c r="V24" s="40">
        <v>2005</v>
      </c>
      <c r="W24" s="40">
        <v>2004</v>
      </c>
      <c r="X24" s="40">
        <v>2003</v>
      </c>
      <c r="Y24" s="40">
        <v>2002</v>
      </c>
      <c r="Z24" s="40">
        <v>2000</v>
      </c>
      <c r="AA24" s="40">
        <v>1998</v>
      </c>
      <c r="AB24" s="40">
        <v>1996</v>
      </c>
    </row>
    <row r="25" spans="1:28" ht="17" x14ac:dyDescent="0.2">
      <c r="D25" s="41" t="s">
        <v>65</v>
      </c>
      <c r="E25" s="40" t="s">
        <v>47</v>
      </c>
      <c r="F25" s="40" t="s">
        <v>47</v>
      </c>
      <c r="G25" s="40" t="s">
        <v>47</v>
      </c>
      <c r="H25" s="40" t="s">
        <v>47</v>
      </c>
      <c r="I25" s="40" t="s">
        <v>47</v>
      </c>
      <c r="J25" s="40" t="s">
        <v>47</v>
      </c>
      <c r="K25" s="40" t="s">
        <v>47</v>
      </c>
      <c r="L25" s="40" t="s">
        <v>47</v>
      </c>
      <c r="M25" s="40" t="s">
        <v>47</v>
      </c>
      <c r="N25" s="40" t="s">
        <v>47</v>
      </c>
      <c r="O25" s="40" t="s">
        <v>47</v>
      </c>
      <c r="P25" s="40" t="s">
        <v>47</v>
      </c>
      <c r="Q25" s="40" t="s">
        <v>47</v>
      </c>
      <c r="R25" s="40" t="s">
        <v>47</v>
      </c>
      <c r="S25" s="40" t="s">
        <v>47</v>
      </c>
      <c r="T25" s="40" t="s">
        <v>47</v>
      </c>
      <c r="U25" s="40" t="s">
        <v>47</v>
      </c>
      <c r="V25" s="40" t="s">
        <v>48</v>
      </c>
      <c r="W25" s="40" t="s">
        <v>48</v>
      </c>
      <c r="X25" s="40" t="s">
        <v>48</v>
      </c>
      <c r="Y25" s="40" t="s">
        <v>48</v>
      </c>
      <c r="Z25" s="40" t="s">
        <v>48</v>
      </c>
      <c r="AA25" s="40" t="s">
        <v>48</v>
      </c>
      <c r="AB25" s="40" t="s">
        <v>48</v>
      </c>
    </row>
    <row r="26" spans="1:28" x14ac:dyDescent="0.2">
      <c r="E26" s="13">
        <v>10</v>
      </c>
      <c r="F26" s="13">
        <v>10</v>
      </c>
      <c r="G26" s="13">
        <v>10</v>
      </c>
      <c r="H26" s="13">
        <v>10</v>
      </c>
      <c r="I26" s="13">
        <v>10</v>
      </c>
      <c r="J26" s="13">
        <v>10</v>
      </c>
      <c r="K26" s="13">
        <v>10</v>
      </c>
      <c r="L26" s="13">
        <v>10</v>
      </c>
      <c r="M26" s="13">
        <v>10</v>
      </c>
      <c r="N26" s="13">
        <v>10</v>
      </c>
      <c r="O26" s="13">
        <v>10</v>
      </c>
    </row>
    <row r="28" spans="1:28" ht="17" x14ac:dyDescent="0.2">
      <c r="A28">
        <v>5</v>
      </c>
      <c r="B28" s="13" t="s">
        <v>171</v>
      </c>
      <c r="C28" s="51"/>
      <c r="D28" s="39" t="s">
        <v>66</v>
      </c>
      <c r="E28" s="40">
        <v>2022</v>
      </c>
      <c r="F28" s="40">
        <v>2021</v>
      </c>
      <c r="G28" s="40">
        <v>2020</v>
      </c>
      <c r="H28" s="40">
        <v>2019</v>
      </c>
      <c r="I28" s="40">
        <v>2018</v>
      </c>
      <c r="J28" s="40">
        <v>2017</v>
      </c>
      <c r="K28" s="40">
        <v>2016</v>
      </c>
      <c r="L28" s="40">
        <v>2015</v>
      </c>
      <c r="M28" s="40">
        <v>2014</v>
      </c>
      <c r="N28" s="40">
        <v>2013</v>
      </c>
      <c r="O28" s="40">
        <v>2012</v>
      </c>
      <c r="P28" s="40">
        <v>2011</v>
      </c>
      <c r="Q28" s="40">
        <v>2010</v>
      </c>
      <c r="R28" s="40">
        <v>2009</v>
      </c>
      <c r="S28" s="40">
        <v>2008</v>
      </c>
      <c r="T28" s="40">
        <v>2007</v>
      </c>
      <c r="U28" s="40">
        <v>2006</v>
      </c>
      <c r="V28" s="40">
        <v>2005</v>
      </c>
      <c r="W28" s="40">
        <v>2004</v>
      </c>
      <c r="X28" s="40">
        <v>2003</v>
      </c>
      <c r="Y28" s="40">
        <v>2002</v>
      </c>
      <c r="Z28" s="40">
        <v>2000</v>
      </c>
      <c r="AA28" s="40">
        <v>1998</v>
      </c>
      <c r="AB28" s="40">
        <v>1996</v>
      </c>
    </row>
    <row r="29" spans="1:28" ht="17" x14ac:dyDescent="0.2">
      <c r="D29" s="41" t="s">
        <v>67</v>
      </c>
      <c r="E29" s="40" t="s">
        <v>47</v>
      </c>
      <c r="F29" s="40" t="s">
        <v>47</v>
      </c>
      <c r="G29" s="40" t="s">
        <v>47</v>
      </c>
      <c r="H29" s="40" t="s">
        <v>47</v>
      </c>
      <c r="I29" s="40" t="s">
        <v>47</v>
      </c>
      <c r="J29" s="40" t="s">
        <v>47</v>
      </c>
      <c r="K29" s="40" t="s">
        <v>47</v>
      </c>
      <c r="L29" s="40" t="s">
        <v>47</v>
      </c>
      <c r="M29" s="40" t="s">
        <v>47</v>
      </c>
      <c r="N29" s="40" t="s">
        <v>47</v>
      </c>
      <c r="O29" s="40" t="s">
        <v>47</v>
      </c>
      <c r="P29" s="40" t="s">
        <v>47</v>
      </c>
      <c r="Q29" s="40" t="s">
        <v>47</v>
      </c>
      <c r="R29" s="40" t="s">
        <v>47</v>
      </c>
      <c r="S29" s="40" t="s">
        <v>47</v>
      </c>
      <c r="T29" s="40" t="s">
        <v>47</v>
      </c>
      <c r="U29" s="40" t="s">
        <v>47</v>
      </c>
      <c r="V29" s="40" t="s">
        <v>47</v>
      </c>
      <c r="W29" s="40" t="s">
        <v>47</v>
      </c>
      <c r="X29" s="40" t="s">
        <v>47</v>
      </c>
      <c r="Y29" s="40" t="s">
        <v>47</v>
      </c>
      <c r="Z29" s="40" t="s">
        <v>47</v>
      </c>
      <c r="AA29" s="40" t="s">
        <v>47</v>
      </c>
      <c r="AB29" s="40" t="s">
        <v>47</v>
      </c>
    </row>
    <row r="30" spans="1:28" x14ac:dyDescent="0.2">
      <c r="E30" s="48" t="s">
        <v>173</v>
      </c>
      <c r="F30" s="48" t="s">
        <v>173</v>
      </c>
      <c r="G30" s="48" t="s">
        <v>173</v>
      </c>
      <c r="H30" s="48" t="s">
        <v>173</v>
      </c>
      <c r="I30" s="48" t="s">
        <v>173</v>
      </c>
      <c r="J30" s="48" t="s">
        <v>173</v>
      </c>
      <c r="K30" s="48" t="s">
        <v>173</v>
      </c>
      <c r="L30" s="48" t="s">
        <v>173</v>
      </c>
      <c r="M30" s="48" t="s">
        <v>173</v>
      </c>
      <c r="N30" s="48" t="s">
        <v>173</v>
      </c>
      <c r="O30" s="48" t="s">
        <v>173</v>
      </c>
    </row>
    <row r="32" spans="1:28" ht="17" x14ac:dyDescent="0.2">
      <c r="A32">
        <v>6</v>
      </c>
      <c r="B32" s="13" t="s">
        <v>172</v>
      </c>
      <c r="C32" s="24">
        <v>4</v>
      </c>
      <c r="D32" s="39" t="s">
        <v>33</v>
      </c>
      <c r="E32" s="40">
        <v>2022</v>
      </c>
      <c r="F32" s="40">
        <v>2021</v>
      </c>
      <c r="G32" s="40">
        <v>2020</v>
      </c>
      <c r="H32" s="40">
        <v>2019</v>
      </c>
      <c r="I32" s="40">
        <v>2018</v>
      </c>
      <c r="J32" s="40">
        <v>2017</v>
      </c>
      <c r="K32" s="40">
        <v>2016</v>
      </c>
      <c r="L32" s="40">
        <v>2015</v>
      </c>
      <c r="M32" s="40">
        <v>2014</v>
      </c>
      <c r="N32" s="40">
        <v>2013</v>
      </c>
      <c r="O32" s="40">
        <v>2012</v>
      </c>
      <c r="P32" s="40">
        <v>2011</v>
      </c>
      <c r="Q32" s="40">
        <v>2010</v>
      </c>
      <c r="R32" s="40">
        <v>2009</v>
      </c>
      <c r="S32" s="40">
        <v>2008</v>
      </c>
      <c r="T32" s="40">
        <v>2007</v>
      </c>
      <c r="U32" s="40">
        <v>2006</v>
      </c>
      <c r="V32" s="40">
        <v>2005</v>
      </c>
      <c r="W32" s="40">
        <v>2004</v>
      </c>
      <c r="X32" s="40">
        <v>2003</v>
      </c>
      <c r="Y32" s="40">
        <v>2002</v>
      </c>
      <c r="Z32" s="40">
        <v>2000</v>
      </c>
      <c r="AA32" s="40">
        <v>1998</v>
      </c>
      <c r="AB32" s="40">
        <v>1996</v>
      </c>
    </row>
    <row r="33" spans="1:28" ht="17" x14ac:dyDescent="0.2">
      <c r="B33" s="13" t="s">
        <v>174</v>
      </c>
      <c r="D33" s="41" t="s">
        <v>68</v>
      </c>
      <c r="E33" s="40" t="s">
        <v>47</v>
      </c>
      <c r="F33" s="40" t="s">
        <v>47</v>
      </c>
      <c r="G33" s="40" t="s">
        <v>47</v>
      </c>
      <c r="H33" s="40" t="s">
        <v>47</v>
      </c>
      <c r="I33" s="40" t="s">
        <v>47</v>
      </c>
      <c r="J33" s="40" t="s">
        <v>47</v>
      </c>
      <c r="K33" s="40" t="s">
        <v>47</v>
      </c>
      <c r="L33" s="40" t="s">
        <v>47</v>
      </c>
      <c r="M33" s="40" t="s">
        <v>47</v>
      </c>
      <c r="N33" s="40" t="s">
        <v>47</v>
      </c>
      <c r="O33" s="40" t="s">
        <v>47</v>
      </c>
      <c r="P33" s="40" t="s">
        <v>47</v>
      </c>
      <c r="Q33" s="40" t="s">
        <v>47</v>
      </c>
      <c r="R33" s="40" t="s">
        <v>47</v>
      </c>
      <c r="S33" s="40" t="s">
        <v>47</v>
      </c>
      <c r="T33" s="40" t="s">
        <v>47</v>
      </c>
      <c r="U33" s="40" t="s">
        <v>47</v>
      </c>
      <c r="V33" s="40" t="s">
        <v>47</v>
      </c>
      <c r="W33" s="40" t="s">
        <v>47</v>
      </c>
      <c r="X33" s="40" t="s">
        <v>47</v>
      </c>
      <c r="Y33" s="40" t="s">
        <v>47</v>
      </c>
      <c r="Z33" s="40" t="s">
        <v>47</v>
      </c>
      <c r="AA33" s="40" t="s">
        <v>47</v>
      </c>
      <c r="AB33" s="40" t="s">
        <v>47</v>
      </c>
    </row>
    <row r="34" spans="1:28" x14ac:dyDescent="0.2">
      <c r="E34" s="13">
        <v>10</v>
      </c>
      <c r="F34" s="13">
        <v>10</v>
      </c>
      <c r="G34" s="13">
        <v>10</v>
      </c>
      <c r="H34" s="13">
        <v>10</v>
      </c>
      <c r="I34" s="13">
        <v>10</v>
      </c>
      <c r="J34" s="13">
        <v>10</v>
      </c>
      <c r="K34" s="13">
        <v>10</v>
      </c>
      <c r="L34" s="13">
        <v>10</v>
      </c>
      <c r="M34" s="13">
        <v>10</v>
      </c>
      <c r="N34" s="13">
        <v>10</v>
      </c>
      <c r="O34" s="13">
        <v>10</v>
      </c>
    </row>
    <row r="36" spans="1:28" ht="17" x14ac:dyDescent="0.2">
      <c r="A36">
        <v>7</v>
      </c>
      <c r="B36" s="27" t="s">
        <v>171</v>
      </c>
      <c r="C36" s="24">
        <v>5</v>
      </c>
      <c r="D36" s="39" t="s">
        <v>69</v>
      </c>
      <c r="E36" s="40">
        <v>2022</v>
      </c>
      <c r="F36" s="40">
        <v>2021</v>
      </c>
      <c r="G36" s="46">
        <v>2020</v>
      </c>
      <c r="H36" s="46">
        <v>2019</v>
      </c>
      <c r="I36" s="40">
        <v>2018</v>
      </c>
      <c r="J36" s="40">
        <v>2017</v>
      </c>
      <c r="K36" s="46">
        <v>2016</v>
      </c>
      <c r="L36" s="46">
        <v>2015</v>
      </c>
      <c r="M36" s="40">
        <v>2014</v>
      </c>
      <c r="N36" s="40">
        <v>2013</v>
      </c>
      <c r="O36" s="40">
        <v>2012</v>
      </c>
      <c r="P36" s="40">
        <v>2011</v>
      </c>
      <c r="Q36" s="40">
        <v>2010</v>
      </c>
      <c r="R36" s="40">
        <v>2009</v>
      </c>
      <c r="S36" s="40">
        <v>2008</v>
      </c>
      <c r="T36" s="40">
        <v>2007</v>
      </c>
      <c r="U36" s="40">
        <v>2006</v>
      </c>
      <c r="V36" s="40">
        <v>2005</v>
      </c>
      <c r="W36" s="40">
        <v>2004</v>
      </c>
      <c r="X36" s="40">
        <v>2003</v>
      </c>
      <c r="Y36" s="40">
        <v>2002</v>
      </c>
      <c r="Z36" s="40">
        <v>2000</v>
      </c>
      <c r="AA36" s="40">
        <v>1998</v>
      </c>
      <c r="AB36" s="40">
        <v>1996</v>
      </c>
    </row>
    <row r="37" spans="1:28" ht="17" x14ac:dyDescent="0.2">
      <c r="D37" s="41" t="s">
        <v>70</v>
      </c>
      <c r="E37" s="40" t="s">
        <v>47</v>
      </c>
      <c r="F37" s="40" t="s">
        <v>47</v>
      </c>
      <c r="G37" s="40" t="s">
        <v>47</v>
      </c>
      <c r="H37" s="40" t="s">
        <v>47</v>
      </c>
      <c r="I37" s="40" t="s">
        <v>47</v>
      </c>
      <c r="J37" s="40" t="s">
        <v>47</v>
      </c>
      <c r="K37" s="40" t="s">
        <v>47</v>
      </c>
      <c r="L37" s="40" t="s">
        <v>47</v>
      </c>
      <c r="M37" s="40" t="s">
        <v>47</v>
      </c>
      <c r="N37" s="40" t="s">
        <v>47</v>
      </c>
      <c r="O37" s="40" t="s">
        <v>47</v>
      </c>
      <c r="P37" s="40" t="s">
        <v>47</v>
      </c>
      <c r="Q37" s="40" t="s">
        <v>48</v>
      </c>
      <c r="R37" s="40" t="s">
        <v>48</v>
      </c>
      <c r="S37" s="40" t="s">
        <v>48</v>
      </c>
      <c r="T37" s="40" t="s">
        <v>48</v>
      </c>
      <c r="U37" s="40" t="s">
        <v>48</v>
      </c>
      <c r="V37" s="40" t="s">
        <v>48</v>
      </c>
      <c r="W37" s="40" t="s">
        <v>48</v>
      </c>
      <c r="X37" s="40" t="s">
        <v>48</v>
      </c>
      <c r="Y37" s="40" t="s">
        <v>48</v>
      </c>
      <c r="Z37" s="40" t="s">
        <v>48</v>
      </c>
      <c r="AA37" s="40" t="s">
        <v>48</v>
      </c>
      <c r="AB37" s="40" t="s">
        <v>48</v>
      </c>
    </row>
    <row r="38" spans="1:28" x14ac:dyDescent="0.2">
      <c r="G38" s="48" t="s">
        <v>175</v>
      </c>
      <c r="H38" s="48" t="s">
        <v>175</v>
      </c>
      <c r="I38" s="48" t="s">
        <v>175</v>
      </c>
      <c r="J38" s="48" t="s">
        <v>175</v>
      </c>
      <c r="K38" s="48" t="s">
        <v>175</v>
      </c>
      <c r="L38" s="48" t="s">
        <v>175</v>
      </c>
      <c r="M38" s="48" t="s">
        <v>175</v>
      </c>
      <c r="N38" s="48" t="s">
        <v>175</v>
      </c>
      <c r="O38" s="48" t="s">
        <v>175</v>
      </c>
    </row>
    <row r="40" spans="1:28" ht="17" x14ac:dyDescent="0.2">
      <c r="A40">
        <v>8</v>
      </c>
      <c r="B40" s="13" t="s">
        <v>171</v>
      </c>
      <c r="C40" s="24">
        <v>6</v>
      </c>
      <c r="D40" s="39" t="s">
        <v>24</v>
      </c>
      <c r="E40" s="47">
        <v>2022</v>
      </c>
      <c r="F40" s="47">
        <v>2021</v>
      </c>
      <c r="G40" s="46">
        <v>2020</v>
      </c>
      <c r="H40" s="46">
        <v>2019</v>
      </c>
      <c r="I40" s="46">
        <v>2018</v>
      </c>
      <c r="J40" s="47">
        <v>2017</v>
      </c>
      <c r="K40" s="47">
        <v>2016</v>
      </c>
      <c r="L40" s="47">
        <v>2015</v>
      </c>
      <c r="M40" s="40">
        <v>2014</v>
      </c>
      <c r="N40" s="40">
        <v>2013</v>
      </c>
      <c r="O40" s="40">
        <v>2012</v>
      </c>
      <c r="P40" s="40">
        <v>2011</v>
      </c>
      <c r="Q40" s="40">
        <v>2010</v>
      </c>
      <c r="R40" s="40">
        <v>2009</v>
      </c>
      <c r="S40" s="40">
        <v>2008</v>
      </c>
      <c r="T40" s="40">
        <v>2007</v>
      </c>
      <c r="U40" s="40">
        <v>2006</v>
      </c>
      <c r="V40" s="40">
        <v>2005</v>
      </c>
      <c r="W40" s="40">
        <v>2004</v>
      </c>
      <c r="X40" s="40">
        <v>2003</v>
      </c>
      <c r="Y40" s="40">
        <v>2002</v>
      </c>
      <c r="Z40" s="40">
        <v>2000</v>
      </c>
      <c r="AA40" s="40">
        <v>1998</v>
      </c>
      <c r="AB40" s="40">
        <v>1996</v>
      </c>
    </row>
    <row r="41" spans="1:28" ht="17" x14ac:dyDescent="0.2">
      <c r="D41" s="41" t="s">
        <v>149</v>
      </c>
      <c r="E41" s="40" t="s">
        <v>47</v>
      </c>
      <c r="F41" s="40" t="s">
        <v>47</v>
      </c>
      <c r="G41" s="40" t="s">
        <v>47</v>
      </c>
      <c r="H41" s="40" t="s">
        <v>47</v>
      </c>
      <c r="I41" s="40" t="s">
        <v>47</v>
      </c>
      <c r="J41" s="40" t="s">
        <v>47</v>
      </c>
      <c r="K41" s="40" t="s">
        <v>47</v>
      </c>
      <c r="L41" s="40" t="s">
        <v>47</v>
      </c>
      <c r="M41" s="40" t="s">
        <v>47</v>
      </c>
      <c r="N41" s="40" t="s">
        <v>47</v>
      </c>
      <c r="O41" s="40" t="s">
        <v>47</v>
      </c>
      <c r="P41" s="40" t="s">
        <v>47</v>
      </c>
      <c r="Q41" s="40" t="s">
        <v>47</v>
      </c>
      <c r="R41" s="40" t="s">
        <v>47</v>
      </c>
      <c r="S41" s="40" t="s">
        <v>47</v>
      </c>
      <c r="T41" s="40" t="s">
        <v>47</v>
      </c>
      <c r="U41" s="40" t="s">
        <v>47</v>
      </c>
      <c r="V41" s="40" t="s">
        <v>47</v>
      </c>
      <c r="W41" s="40" t="s">
        <v>47</v>
      </c>
      <c r="X41" s="40" t="s">
        <v>48</v>
      </c>
      <c r="Y41" s="40" t="s">
        <v>48</v>
      </c>
      <c r="Z41" s="40" t="s">
        <v>48</v>
      </c>
      <c r="AA41" s="40" t="s">
        <v>48</v>
      </c>
      <c r="AB41" s="40" t="s">
        <v>48</v>
      </c>
    </row>
    <row r="42" spans="1:28" x14ac:dyDescent="0.2">
      <c r="E42" s="13" t="s">
        <v>177</v>
      </c>
      <c r="F42" s="13" t="s">
        <v>177</v>
      </c>
      <c r="G42" s="13" t="s">
        <v>176</v>
      </c>
      <c r="H42" s="13" t="s">
        <v>176</v>
      </c>
      <c r="I42" s="13" t="s">
        <v>176</v>
      </c>
      <c r="J42" s="13" t="s">
        <v>176</v>
      </c>
      <c r="K42" s="13" t="s">
        <v>176</v>
      </c>
      <c r="L42" s="13" t="s">
        <v>176</v>
      </c>
      <c r="M42" s="13" t="s">
        <v>176</v>
      </c>
      <c r="N42" s="13" t="s">
        <v>176</v>
      </c>
      <c r="O42" s="13" t="s">
        <v>176</v>
      </c>
    </row>
    <row r="44" spans="1:28" ht="17" x14ac:dyDescent="0.2">
      <c r="A44">
        <v>9</v>
      </c>
      <c r="C44" s="51"/>
      <c r="D44" s="39" t="s">
        <v>153</v>
      </c>
      <c r="E44" s="40">
        <v>2022</v>
      </c>
      <c r="F44" s="40">
        <v>2021</v>
      </c>
      <c r="G44" s="40">
        <v>2020</v>
      </c>
      <c r="H44" s="40">
        <v>2019</v>
      </c>
      <c r="I44" s="40">
        <v>2018</v>
      </c>
      <c r="J44" s="40">
        <v>2017</v>
      </c>
      <c r="K44" s="40">
        <v>2016</v>
      </c>
      <c r="L44" s="40">
        <v>2015</v>
      </c>
      <c r="M44" s="40">
        <v>2014</v>
      </c>
      <c r="N44" s="40">
        <v>2013</v>
      </c>
      <c r="O44" s="40">
        <v>2012</v>
      </c>
      <c r="P44" s="40">
        <v>2011</v>
      </c>
      <c r="Q44" s="40">
        <v>2010</v>
      </c>
      <c r="R44" s="40">
        <v>2009</v>
      </c>
      <c r="S44" s="40">
        <v>2008</v>
      </c>
      <c r="T44" s="40">
        <v>2007</v>
      </c>
      <c r="U44" s="40">
        <v>2006</v>
      </c>
      <c r="V44" s="40">
        <v>2005</v>
      </c>
      <c r="W44" s="40">
        <v>2004</v>
      </c>
      <c r="X44" s="40">
        <v>2003</v>
      </c>
      <c r="Y44" s="40">
        <v>2002</v>
      </c>
      <c r="Z44" s="40">
        <v>2000</v>
      </c>
      <c r="AA44" s="40">
        <v>1998</v>
      </c>
      <c r="AB44" s="40">
        <v>1996</v>
      </c>
    </row>
    <row r="45" spans="1:28" ht="17" x14ac:dyDescent="0.2">
      <c r="D45" s="41" t="s">
        <v>150</v>
      </c>
      <c r="E45" s="40"/>
      <c r="F45" s="40"/>
      <c r="G45" s="40"/>
      <c r="H45" s="40" t="s">
        <v>47</v>
      </c>
      <c r="I45" s="40" t="s">
        <v>47</v>
      </c>
      <c r="J45" s="40" t="s">
        <v>47</v>
      </c>
      <c r="K45" s="40" t="s">
        <v>47</v>
      </c>
      <c r="L45" s="40" t="s">
        <v>47</v>
      </c>
      <c r="M45" s="40" t="s">
        <v>47</v>
      </c>
      <c r="N45" s="40" t="s">
        <v>47</v>
      </c>
      <c r="O45" s="40" t="s">
        <v>47</v>
      </c>
      <c r="P45" s="40" t="s">
        <v>47</v>
      </c>
      <c r="Q45" s="40" t="s">
        <v>47</v>
      </c>
      <c r="R45" s="40" t="s">
        <v>47</v>
      </c>
      <c r="S45" s="40" t="s">
        <v>47</v>
      </c>
      <c r="T45" s="40" t="s">
        <v>47</v>
      </c>
      <c r="U45" s="40" t="s">
        <v>47</v>
      </c>
      <c r="V45" s="40" t="s">
        <v>48</v>
      </c>
      <c r="W45" s="40" t="s">
        <v>48</v>
      </c>
      <c r="X45" s="40" t="s">
        <v>48</v>
      </c>
      <c r="Y45" s="40" t="s">
        <v>48</v>
      </c>
      <c r="Z45" s="40" t="s">
        <v>48</v>
      </c>
      <c r="AA45" s="40" t="s">
        <v>48</v>
      </c>
      <c r="AB45" s="40" t="s">
        <v>48</v>
      </c>
    </row>
    <row r="46" spans="1:28" ht="17" x14ac:dyDescent="0.2">
      <c r="D46" s="41" t="s">
        <v>151</v>
      </c>
      <c r="E46" s="40"/>
      <c r="F46" s="40"/>
      <c r="G46" s="40"/>
      <c r="H46" s="40" t="s">
        <v>47</v>
      </c>
      <c r="I46" s="40" t="s">
        <v>47</v>
      </c>
      <c r="J46" s="40" t="s">
        <v>47</v>
      </c>
      <c r="K46" s="40" t="s">
        <v>47</v>
      </c>
      <c r="L46" s="40" t="s">
        <v>47</v>
      </c>
      <c r="M46" s="40" t="s">
        <v>47</v>
      </c>
      <c r="N46" s="40" t="s">
        <v>47</v>
      </c>
      <c r="O46" s="40" t="s">
        <v>47</v>
      </c>
      <c r="P46" s="40" t="s">
        <v>47</v>
      </c>
      <c r="Q46" s="40" t="s">
        <v>47</v>
      </c>
      <c r="R46" s="40" t="s">
        <v>47</v>
      </c>
      <c r="S46" s="40" t="s">
        <v>47</v>
      </c>
      <c r="T46" s="40" t="s">
        <v>47</v>
      </c>
      <c r="U46" s="40" t="s">
        <v>47</v>
      </c>
      <c r="V46" s="40" t="s">
        <v>48</v>
      </c>
      <c r="W46" s="40" t="s">
        <v>48</v>
      </c>
      <c r="X46" s="40" t="s">
        <v>48</v>
      </c>
      <c r="Y46" s="40" t="s">
        <v>48</v>
      </c>
      <c r="Z46" s="40" t="s">
        <v>48</v>
      </c>
      <c r="AA46" s="40" t="s">
        <v>48</v>
      </c>
      <c r="AB46" s="40" t="s">
        <v>48</v>
      </c>
    </row>
    <row r="47" spans="1:28" ht="17" x14ac:dyDescent="0.2">
      <c r="D47" s="41" t="s">
        <v>152</v>
      </c>
      <c r="E47" s="40"/>
      <c r="F47" s="40"/>
      <c r="G47" s="40"/>
      <c r="H47" s="40" t="s">
        <v>47</v>
      </c>
      <c r="I47" s="40" t="s">
        <v>47</v>
      </c>
      <c r="J47" s="40" t="s">
        <v>47</v>
      </c>
      <c r="K47" s="40" t="s">
        <v>47</v>
      </c>
      <c r="L47" s="40" t="s">
        <v>47</v>
      </c>
      <c r="M47" s="40" t="s">
        <v>47</v>
      </c>
      <c r="N47" s="40" t="s">
        <v>47</v>
      </c>
      <c r="O47" s="40" t="s">
        <v>47</v>
      </c>
      <c r="P47" s="40" t="s">
        <v>47</v>
      </c>
      <c r="Q47" s="40" t="s">
        <v>47</v>
      </c>
      <c r="R47" s="40" t="s">
        <v>47</v>
      </c>
      <c r="S47" s="40" t="s">
        <v>47</v>
      </c>
      <c r="T47" s="40" t="s">
        <v>47</v>
      </c>
      <c r="U47" s="40" t="s">
        <v>47</v>
      </c>
      <c r="V47" s="40" t="s">
        <v>48</v>
      </c>
      <c r="W47" s="40" t="s">
        <v>48</v>
      </c>
      <c r="X47" s="40" t="s">
        <v>48</v>
      </c>
      <c r="Y47" s="40" t="s">
        <v>48</v>
      </c>
      <c r="Z47" s="40" t="s">
        <v>48</v>
      </c>
      <c r="AA47" s="40" t="s">
        <v>48</v>
      </c>
      <c r="AB47" s="40" t="s">
        <v>48</v>
      </c>
    </row>
    <row r="48" spans="1:28" x14ac:dyDescent="0.2">
      <c r="D48" s="41"/>
      <c r="E48" s="40"/>
      <c r="F48" s="40"/>
      <c r="G48" s="40"/>
      <c r="H48" s="40" t="s">
        <v>47</v>
      </c>
      <c r="I48" s="40" t="s">
        <v>47</v>
      </c>
      <c r="J48" s="40" t="s">
        <v>47</v>
      </c>
      <c r="K48" s="40" t="s">
        <v>47</v>
      </c>
      <c r="L48" s="40" t="s">
        <v>47</v>
      </c>
      <c r="M48" s="40" t="s">
        <v>47</v>
      </c>
      <c r="N48" s="40" t="s">
        <v>47</v>
      </c>
      <c r="O48" s="40" t="s">
        <v>47</v>
      </c>
      <c r="P48" s="40" t="s">
        <v>47</v>
      </c>
      <c r="Q48" s="40" t="s">
        <v>47</v>
      </c>
      <c r="R48" s="40" t="s">
        <v>47</v>
      </c>
      <c r="S48" s="40" t="s">
        <v>47</v>
      </c>
      <c r="T48" s="40" t="s">
        <v>47</v>
      </c>
      <c r="U48" s="40" t="s">
        <v>47</v>
      </c>
      <c r="V48" s="40" t="s">
        <v>48</v>
      </c>
      <c r="W48" s="40" t="s">
        <v>48</v>
      </c>
      <c r="X48" s="40" t="s">
        <v>48</v>
      </c>
      <c r="Y48" s="40" t="s">
        <v>48</v>
      </c>
      <c r="Z48" s="40" t="s">
        <v>48</v>
      </c>
      <c r="AA48" s="40" t="s">
        <v>48</v>
      </c>
      <c r="AB48" s="40" t="s">
        <v>48</v>
      </c>
    </row>
    <row r="50" spans="1:28" ht="17" x14ac:dyDescent="0.2">
      <c r="A50">
        <v>10</v>
      </c>
      <c r="B50" s="13" t="s">
        <v>171</v>
      </c>
      <c r="C50" s="24">
        <v>7</v>
      </c>
      <c r="D50" s="39" t="s">
        <v>155</v>
      </c>
      <c r="E50" s="40">
        <v>2022</v>
      </c>
      <c r="F50" s="40">
        <v>2021</v>
      </c>
      <c r="G50" s="40">
        <v>2020</v>
      </c>
      <c r="H50" s="40">
        <v>2019</v>
      </c>
      <c r="I50" s="40">
        <v>2018</v>
      </c>
      <c r="J50" s="40">
        <v>2017</v>
      </c>
      <c r="K50" s="40">
        <v>2016</v>
      </c>
      <c r="L50" s="40">
        <v>2015</v>
      </c>
      <c r="M50" s="40">
        <v>2014</v>
      </c>
      <c r="N50" s="40">
        <v>2013</v>
      </c>
      <c r="O50" s="40">
        <v>2012</v>
      </c>
      <c r="P50" s="40">
        <v>2011</v>
      </c>
      <c r="Q50" s="40">
        <v>2010</v>
      </c>
      <c r="R50" s="40">
        <v>2009</v>
      </c>
      <c r="S50" s="40">
        <v>2008</v>
      </c>
      <c r="T50" s="40">
        <v>2007</v>
      </c>
      <c r="U50" s="40">
        <v>2006</v>
      </c>
      <c r="V50" s="40">
        <v>2005</v>
      </c>
      <c r="W50" s="40">
        <v>2004</v>
      </c>
      <c r="X50" s="40">
        <v>2003</v>
      </c>
      <c r="Y50" s="40">
        <v>2002</v>
      </c>
      <c r="Z50" s="40">
        <v>2000</v>
      </c>
      <c r="AA50" s="40">
        <v>1998</v>
      </c>
      <c r="AB50" s="40">
        <v>1996</v>
      </c>
    </row>
    <row r="51" spans="1:28" ht="17" x14ac:dyDescent="0.2">
      <c r="D51" s="49" t="s">
        <v>154</v>
      </c>
      <c r="E51" s="40" t="s">
        <v>47</v>
      </c>
      <c r="F51" s="40" t="s">
        <v>47</v>
      </c>
      <c r="G51" s="40" t="s">
        <v>47</v>
      </c>
      <c r="H51" s="40" t="s">
        <v>47</v>
      </c>
      <c r="I51" s="40" t="s">
        <v>47</v>
      </c>
      <c r="J51" s="40" t="s">
        <v>47</v>
      </c>
      <c r="K51" s="40" t="s">
        <v>47</v>
      </c>
      <c r="L51" s="40" t="s">
        <v>47</v>
      </c>
      <c r="M51" s="40" t="s">
        <v>47</v>
      </c>
      <c r="N51" s="40" t="s">
        <v>47</v>
      </c>
      <c r="O51" s="40" t="s">
        <v>47</v>
      </c>
      <c r="P51" s="40" t="s">
        <v>47</v>
      </c>
      <c r="Q51" s="40" t="s">
        <v>47</v>
      </c>
      <c r="R51" s="40" t="s">
        <v>47</v>
      </c>
      <c r="S51" s="40" t="s">
        <v>47</v>
      </c>
      <c r="T51" s="40" t="s">
        <v>47</v>
      </c>
      <c r="U51" s="40" t="s">
        <v>47</v>
      </c>
      <c r="V51" s="40" t="s">
        <v>47</v>
      </c>
      <c r="W51" s="40" t="s">
        <v>47</v>
      </c>
      <c r="X51" s="40" t="s">
        <v>47</v>
      </c>
      <c r="Y51" s="40" t="s">
        <v>47</v>
      </c>
      <c r="Z51" s="40" t="s">
        <v>47</v>
      </c>
      <c r="AA51" s="40" t="s">
        <v>47</v>
      </c>
      <c r="AB51" s="40" t="s">
        <v>47</v>
      </c>
    </row>
    <row r="52" spans="1:28" x14ac:dyDescent="0.2">
      <c r="E52" s="13">
        <v>10</v>
      </c>
      <c r="F52" s="13">
        <v>10</v>
      </c>
      <c r="G52" s="13">
        <v>10</v>
      </c>
      <c r="H52" s="13">
        <v>10</v>
      </c>
      <c r="I52" s="13">
        <v>10</v>
      </c>
      <c r="J52" s="13">
        <v>10</v>
      </c>
      <c r="K52" s="13">
        <v>10</v>
      </c>
      <c r="L52" s="13">
        <v>10</v>
      </c>
      <c r="M52" s="13">
        <v>10</v>
      </c>
      <c r="N52" s="13">
        <v>10</v>
      </c>
      <c r="O52" s="13">
        <v>10</v>
      </c>
    </row>
    <row r="54" spans="1:28" ht="17" x14ac:dyDescent="0.2">
      <c r="A54">
        <v>11</v>
      </c>
      <c r="B54" s="50" t="s">
        <v>172</v>
      </c>
      <c r="C54" s="51"/>
      <c r="D54" s="39" t="s">
        <v>156</v>
      </c>
      <c r="E54" s="40">
        <v>2022</v>
      </c>
      <c r="F54" s="40">
        <v>2021</v>
      </c>
      <c r="G54" s="40">
        <v>2020</v>
      </c>
      <c r="H54" s="40">
        <v>2019</v>
      </c>
      <c r="I54" s="40">
        <v>2018</v>
      </c>
      <c r="J54" s="40">
        <v>2017</v>
      </c>
      <c r="K54" s="40">
        <v>2016</v>
      </c>
      <c r="L54" s="40">
        <v>2015</v>
      </c>
      <c r="M54" s="40">
        <v>2014</v>
      </c>
      <c r="N54" s="40">
        <v>2013</v>
      </c>
      <c r="O54" s="40">
        <v>2012</v>
      </c>
      <c r="P54" s="40">
        <v>2011</v>
      </c>
      <c r="Q54" s="40">
        <v>2010</v>
      </c>
      <c r="R54" s="40">
        <v>2009</v>
      </c>
      <c r="S54" s="40">
        <v>2008</v>
      </c>
      <c r="T54" s="40">
        <v>2007</v>
      </c>
      <c r="U54" s="40">
        <v>2006</v>
      </c>
      <c r="V54" s="40">
        <v>2005</v>
      </c>
      <c r="W54" s="40">
        <v>2004</v>
      </c>
      <c r="X54" s="40">
        <v>2003</v>
      </c>
      <c r="Y54" s="40">
        <v>2002</v>
      </c>
      <c r="Z54" s="40">
        <v>2000</v>
      </c>
      <c r="AA54" s="40">
        <v>1998</v>
      </c>
      <c r="AB54" s="40">
        <v>1996</v>
      </c>
    </row>
    <row r="55" spans="1:28" ht="51" x14ac:dyDescent="0.2">
      <c r="D55" s="49" t="s">
        <v>178</v>
      </c>
      <c r="E55" s="40" t="s">
        <v>48</v>
      </c>
      <c r="F55" s="40" t="s">
        <v>48</v>
      </c>
      <c r="G55" s="40" t="s">
        <v>48</v>
      </c>
      <c r="H55" s="40" t="s">
        <v>48</v>
      </c>
      <c r="I55" s="40" t="s">
        <v>48</v>
      </c>
      <c r="J55" s="40" t="s">
        <v>48</v>
      </c>
      <c r="K55" s="40" t="s">
        <v>48</v>
      </c>
      <c r="L55" s="40" t="s">
        <v>48</v>
      </c>
      <c r="M55" s="40" t="s">
        <v>48</v>
      </c>
      <c r="N55" s="40" t="s">
        <v>47</v>
      </c>
      <c r="O55" s="40" t="s">
        <v>47</v>
      </c>
      <c r="P55" s="40" t="s">
        <v>47</v>
      </c>
      <c r="Q55" s="40" t="s">
        <v>47</v>
      </c>
      <c r="R55" s="40" t="s">
        <v>47</v>
      </c>
      <c r="S55" s="40" t="s">
        <v>47</v>
      </c>
      <c r="T55" s="40" t="s">
        <v>47</v>
      </c>
      <c r="U55" s="40" t="s">
        <v>47</v>
      </c>
      <c r="V55" s="40" t="s">
        <v>47</v>
      </c>
      <c r="W55" s="40" t="s">
        <v>47</v>
      </c>
      <c r="X55" s="40" t="s">
        <v>47</v>
      </c>
      <c r="Y55" s="40" t="s">
        <v>47</v>
      </c>
      <c r="Z55" s="40" t="s">
        <v>47</v>
      </c>
      <c r="AA55" s="40" t="s">
        <v>47</v>
      </c>
      <c r="AB55" s="40" t="s">
        <v>47</v>
      </c>
    </row>
    <row r="56" spans="1:28" ht="66" customHeight="1" x14ac:dyDescent="0.2">
      <c r="D56" s="49" t="s">
        <v>179</v>
      </c>
      <c r="E56" s="40" t="s">
        <v>47</v>
      </c>
      <c r="F56" s="40" t="s">
        <v>47</v>
      </c>
      <c r="G56" s="40" t="s">
        <v>47</v>
      </c>
      <c r="H56" s="40" t="s">
        <v>47</v>
      </c>
      <c r="I56" s="40" t="s">
        <v>47</v>
      </c>
      <c r="J56" s="40" t="s">
        <v>47</v>
      </c>
      <c r="K56" s="40" t="s">
        <v>47</v>
      </c>
      <c r="L56" s="40" t="s">
        <v>47</v>
      </c>
      <c r="M56" s="40" t="s">
        <v>47</v>
      </c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</row>
    <row r="57" spans="1:28" x14ac:dyDescent="0.2">
      <c r="E57" s="13">
        <v>10</v>
      </c>
      <c r="F57" s="13">
        <v>10</v>
      </c>
      <c r="G57" s="13">
        <v>10</v>
      </c>
      <c r="H57" s="13">
        <v>10</v>
      </c>
      <c r="I57" s="13">
        <v>10</v>
      </c>
      <c r="J57" s="13">
        <v>10</v>
      </c>
      <c r="K57" s="13">
        <v>10</v>
      </c>
      <c r="L57" s="13">
        <v>10</v>
      </c>
      <c r="M57" s="13">
        <v>10</v>
      </c>
      <c r="N57" s="13">
        <v>10</v>
      </c>
      <c r="O57" s="13">
        <v>10</v>
      </c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</row>
    <row r="58" spans="1:28" x14ac:dyDescent="0.2"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</row>
    <row r="59" spans="1:28" ht="17" x14ac:dyDescent="0.2">
      <c r="A59">
        <v>12</v>
      </c>
      <c r="B59" s="13" t="s">
        <v>171</v>
      </c>
      <c r="C59" s="51" t="s">
        <v>180</v>
      </c>
      <c r="D59" s="39" t="s">
        <v>157</v>
      </c>
      <c r="E59" s="47">
        <v>2022</v>
      </c>
      <c r="F59" s="47">
        <v>2021</v>
      </c>
      <c r="G59" s="47">
        <v>2020</v>
      </c>
      <c r="H59" s="46">
        <v>2019</v>
      </c>
      <c r="I59" s="46">
        <v>2018</v>
      </c>
      <c r="J59" s="40">
        <v>2017</v>
      </c>
      <c r="K59" s="40">
        <v>2016</v>
      </c>
      <c r="L59" s="40">
        <v>2015</v>
      </c>
      <c r="M59" s="47">
        <v>2014</v>
      </c>
      <c r="N59" s="47">
        <v>2013</v>
      </c>
      <c r="O59" s="46">
        <v>2012</v>
      </c>
      <c r="P59" s="46">
        <v>2011</v>
      </c>
      <c r="Q59" s="40">
        <v>2010</v>
      </c>
      <c r="R59" s="40">
        <v>2009</v>
      </c>
      <c r="S59" s="40">
        <v>2008</v>
      </c>
      <c r="T59" s="40">
        <v>2007</v>
      </c>
      <c r="U59" s="40">
        <v>2006</v>
      </c>
      <c r="V59" s="40">
        <v>2005</v>
      </c>
      <c r="W59" s="40">
        <v>2004</v>
      </c>
      <c r="X59" s="40">
        <v>2003</v>
      </c>
      <c r="Y59" s="40">
        <v>2002</v>
      </c>
      <c r="Z59" s="40">
        <v>2000</v>
      </c>
      <c r="AA59" s="40">
        <v>1998</v>
      </c>
      <c r="AB59" s="40">
        <v>1996</v>
      </c>
    </row>
    <row r="60" spans="1:28" ht="17" x14ac:dyDescent="0.2">
      <c r="D60" s="49" t="s">
        <v>158</v>
      </c>
      <c r="E60" s="40" t="s">
        <v>48</v>
      </c>
      <c r="F60" s="40" t="s">
        <v>48</v>
      </c>
      <c r="G60" s="40" t="s">
        <v>48</v>
      </c>
      <c r="H60" s="40" t="s">
        <v>48</v>
      </c>
      <c r="I60" s="40" t="s">
        <v>48</v>
      </c>
      <c r="J60" s="40" t="s">
        <v>48</v>
      </c>
      <c r="K60" s="40" t="s">
        <v>47</v>
      </c>
      <c r="L60" s="40" t="s">
        <v>47</v>
      </c>
      <c r="M60" s="40" t="s">
        <v>47</v>
      </c>
      <c r="N60" s="40" t="s">
        <v>47</v>
      </c>
      <c r="O60" s="40" t="s">
        <v>47</v>
      </c>
      <c r="P60" s="40" t="s">
        <v>47</v>
      </c>
      <c r="Q60" s="40" t="s">
        <v>47</v>
      </c>
      <c r="R60" s="40" t="s">
        <v>47</v>
      </c>
      <c r="S60" s="40" t="s">
        <v>47</v>
      </c>
      <c r="T60" s="40" t="s">
        <v>47</v>
      </c>
      <c r="U60" s="40" t="s">
        <v>47</v>
      </c>
      <c r="V60" s="40" t="s">
        <v>47</v>
      </c>
      <c r="W60" s="40" t="s">
        <v>47</v>
      </c>
      <c r="X60" s="40" t="s">
        <v>47</v>
      </c>
      <c r="Y60" s="40" t="s">
        <v>47</v>
      </c>
      <c r="Z60" s="40" t="s">
        <v>48</v>
      </c>
      <c r="AA60" s="40" t="s">
        <v>48</v>
      </c>
      <c r="AB60" s="40" t="s">
        <v>48</v>
      </c>
    </row>
    <row r="61" spans="1:28" ht="17" x14ac:dyDescent="0.2">
      <c r="D61" s="49" t="s">
        <v>159</v>
      </c>
      <c r="E61" s="40" t="s">
        <v>47</v>
      </c>
      <c r="F61" s="40" t="s">
        <v>47</v>
      </c>
      <c r="G61" s="40" t="s">
        <v>47</v>
      </c>
      <c r="H61" s="40" t="s">
        <v>47</v>
      </c>
      <c r="I61" s="40" t="s">
        <v>47</v>
      </c>
      <c r="J61" s="40" t="s">
        <v>47</v>
      </c>
      <c r="K61" s="40" t="s">
        <v>48</v>
      </c>
      <c r="L61" s="40" t="s">
        <v>48</v>
      </c>
      <c r="M61" s="40" t="s">
        <v>48</v>
      </c>
      <c r="N61" s="40" t="s">
        <v>48</v>
      </c>
      <c r="O61" s="40" t="s">
        <v>48</v>
      </c>
      <c r="P61" s="40" t="s">
        <v>48</v>
      </c>
      <c r="Q61" s="40" t="s">
        <v>48</v>
      </c>
      <c r="R61" s="40" t="s">
        <v>48</v>
      </c>
      <c r="S61" s="40" t="s">
        <v>48</v>
      </c>
      <c r="T61" s="40" t="s">
        <v>48</v>
      </c>
      <c r="U61" s="40" t="s">
        <v>48</v>
      </c>
      <c r="V61" s="40" t="s">
        <v>48</v>
      </c>
      <c r="W61" s="40" t="s">
        <v>48</v>
      </c>
      <c r="X61" s="40" t="s">
        <v>48</v>
      </c>
      <c r="Y61" s="40" t="s">
        <v>48</v>
      </c>
      <c r="Z61" s="40" t="s">
        <v>48</v>
      </c>
      <c r="AA61" s="40" t="s">
        <v>48</v>
      </c>
      <c r="AB61" s="40" t="s">
        <v>48</v>
      </c>
    </row>
    <row r="62" spans="1:28" ht="17" x14ac:dyDescent="0.2">
      <c r="D62" s="49" t="s">
        <v>160</v>
      </c>
      <c r="E62" s="40" t="s">
        <v>48</v>
      </c>
      <c r="F62" s="40" t="s">
        <v>48</v>
      </c>
      <c r="G62" s="40" t="s">
        <v>48</v>
      </c>
      <c r="H62" s="40" t="s">
        <v>48</v>
      </c>
      <c r="I62" s="40" t="s">
        <v>48</v>
      </c>
      <c r="J62" s="40" t="s">
        <v>47</v>
      </c>
      <c r="K62" s="40" t="s">
        <v>48</v>
      </c>
      <c r="L62" s="40" t="s">
        <v>48</v>
      </c>
      <c r="M62" s="40" t="s">
        <v>48</v>
      </c>
      <c r="N62" s="40" t="s">
        <v>48</v>
      </c>
      <c r="O62" s="40" t="s">
        <v>48</v>
      </c>
      <c r="P62" s="40" t="s">
        <v>48</v>
      </c>
      <c r="Q62" s="40" t="s">
        <v>48</v>
      </c>
      <c r="R62" s="40" t="s">
        <v>48</v>
      </c>
      <c r="S62" s="40" t="s">
        <v>48</v>
      </c>
      <c r="T62" s="40" t="s">
        <v>48</v>
      </c>
      <c r="U62" s="40" t="s">
        <v>48</v>
      </c>
      <c r="V62" s="40" t="s">
        <v>48</v>
      </c>
      <c r="W62" s="40" t="s">
        <v>48</v>
      </c>
      <c r="X62" s="40" t="s">
        <v>48</v>
      </c>
      <c r="Y62" s="40" t="s">
        <v>48</v>
      </c>
      <c r="Z62" s="40" t="s">
        <v>48</v>
      </c>
      <c r="AA62" s="40" t="s">
        <v>48</v>
      </c>
      <c r="AB62" s="40" t="s">
        <v>48</v>
      </c>
    </row>
    <row r="63" spans="1:28" ht="17" x14ac:dyDescent="0.2">
      <c r="D63" s="49" t="s">
        <v>161</v>
      </c>
      <c r="E63" s="40" t="s">
        <v>47</v>
      </c>
      <c r="F63" s="40" t="s">
        <v>47</v>
      </c>
      <c r="G63" s="40" t="s">
        <v>47</v>
      </c>
      <c r="H63" s="40" t="s">
        <v>47</v>
      </c>
      <c r="I63" s="40" t="s">
        <v>47</v>
      </c>
      <c r="J63" s="40" t="s">
        <v>48</v>
      </c>
      <c r="K63" s="40" t="s">
        <v>48</v>
      </c>
      <c r="L63" s="40" t="s">
        <v>48</v>
      </c>
      <c r="M63" s="40" t="s">
        <v>48</v>
      </c>
      <c r="N63" s="40" t="s">
        <v>48</v>
      </c>
      <c r="O63" s="40" t="s">
        <v>48</v>
      </c>
      <c r="P63" s="40" t="s">
        <v>48</v>
      </c>
      <c r="Q63" s="40" t="s">
        <v>48</v>
      </c>
      <c r="R63" s="40" t="s">
        <v>48</v>
      </c>
      <c r="S63" s="40" t="s">
        <v>48</v>
      </c>
      <c r="T63" s="40" t="s">
        <v>48</v>
      </c>
      <c r="U63" s="40" t="s">
        <v>48</v>
      </c>
      <c r="V63" s="40" t="s">
        <v>48</v>
      </c>
      <c r="W63" s="40" t="s">
        <v>48</v>
      </c>
      <c r="X63" s="40" t="s">
        <v>48</v>
      </c>
      <c r="Y63" s="40" t="s">
        <v>48</v>
      </c>
      <c r="Z63" s="40" t="s">
        <v>48</v>
      </c>
      <c r="AA63" s="40" t="s">
        <v>48</v>
      </c>
      <c r="AB63" s="40" t="s">
        <v>48</v>
      </c>
    </row>
    <row r="64" spans="1:28" ht="17" x14ac:dyDescent="0.2">
      <c r="D64" s="49" t="s">
        <v>162</v>
      </c>
      <c r="E64" s="40" t="s">
        <v>47</v>
      </c>
      <c r="F64" s="40" t="s">
        <v>47</v>
      </c>
      <c r="G64" s="40" t="s">
        <v>47</v>
      </c>
      <c r="H64" s="40" t="s">
        <v>47</v>
      </c>
      <c r="I64" s="40" t="s">
        <v>47</v>
      </c>
      <c r="J64" s="40" t="s">
        <v>47</v>
      </c>
      <c r="K64" s="40" t="s">
        <v>48</v>
      </c>
      <c r="L64" s="40" t="s">
        <v>48</v>
      </c>
      <c r="M64" s="40" t="s">
        <v>48</v>
      </c>
      <c r="N64" s="40" t="s">
        <v>48</v>
      </c>
      <c r="O64" s="40" t="s">
        <v>48</v>
      </c>
      <c r="P64" s="40" t="s">
        <v>48</v>
      </c>
      <c r="Q64" s="40" t="s">
        <v>48</v>
      </c>
      <c r="R64" s="40" t="s">
        <v>48</v>
      </c>
      <c r="S64" s="40" t="s">
        <v>48</v>
      </c>
      <c r="T64" s="40" t="s">
        <v>48</v>
      </c>
      <c r="U64" s="40" t="s">
        <v>48</v>
      </c>
      <c r="V64" s="40" t="s">
        <v>48</v>
      </c>
      <c r="W64" s="40" t="s">
        <v>48</v>
      </c>
      <c r="X64" s="40" t="s">
        <v>48</v>
      </c>
      <c r="Y64" s="40" t="s">
        <v>48</v>
      </c>
      <c r="Z64" s="40" t="s">
        <v>48</v>
      </c>
      <c r="AA64" s="40" t="s">
        <v>48</v>
      </c>
      <c r="AB64" s="40" t="s">
        <v>48</v>
      </c>
    </row>
    <row r="65" spans="1:28" ht="17" x14ac:dyDescent="0.2">
      <c r="D65" s="49" t="s">
        <v>163</v>
      </c>
      <c r="E65" s="40" t="s">
        <v>47</v>
      </c>
      <c r="F65" s="40" t="s">
        <v>47</v>
      </c>
      <c r="G65" s="40" t="s">
        <v>47</v>
      </c>
      <c r="H65" s="40" t="s">
        <v>47</v>
      </c>
      <c r="I65" s="40" t="s">
        <v>47</v>
      </c>
      <c r="J65" s="40" t="s">
        <v>48</v>
      </c>
      <c r="K65" s="40" t="s">
        <v>48</v>
      </c>
      <c r="L65" s="40" t="s">
        <v>48</v>
      </c>
      <c r="M65" s="40" t="s">
        <v>48</v>
      </c>
      <c r="N65" s="40" t="s">
        <v>48</v>
      </c>
      <c r="O65" s="40" t="s">
        <v>48</v>
      </c>
      <c r="P65" s="40" t="s">
        <v>48</v>
      </c>
      <c r="Q65" s="40" t="s">
        <v>48</v>
      </c>
      <c r="R65" s="40" t="s">
        <v>48</v>
      </c>
      <c r="S65" s="40" t="s">
        <v>48</v>
      </c>
      <c r="T65" s="40" t="s">
        <v>48</v>
      </c>
      <c r="U65" s="40" t="s">
        <v>48</v>
      </c>
      <c r="V65" s="40" t="s">
        <v>48</v>
      </c>
      <c r="W65" s="40" t="s">
        <v>48</v>
      </c>
      <c r="X65" s="40" t="s">
        <v>48</v>
      </c>
      <c r="Y65" s="40" t="s">
        <v>48</v>
      </c>
      <c r="Z65" s="40" t="s">
        <v>48</v>
      </c>
      <c r="AA65" s="40" t="s">
        <v>48</v>
      </c>
      <c r="AB65" s="40" t="s">
        <v>48</v>
      </c>
    </row>
    <row r="66" spans="1:28" ht="17" x14ac:dyDescent="0.2">
      <c r="D66" s="49" t="s">
        <v>164</v>
      </c>
      <c r="E66" s="40" t="s">
        <v>47</v>
      </c>
      <c r="F66" s="40" t="s">
        <v>47</v>
      </c>
      <c r="G66" s="40" t="s">
        <v>47</v>
      </c>
      <c r="H66" s="40" t="s">
        <v>47</v>
      </c>
      <c r="I66" s="40" t="s">
        <v>47</v>
      </c>
      <c r="J66" s="40" t="s">
        <v>48</v>
      </c>
      <c r="K66" s="40" t="s">
        <v>48</v>
      </c>
      <c r="L66" s="40" t="s">
        <v>48</v>
      </c>
      <c r="M66" s="40" t="s">
        <v>48</v>
      </c>
      <c r="N66" s="40" t="s">
        <v>48</v>
      </c>
      <c r="O66" s="40" t="s">
        <v>48</v>
      </c>
      <c r="P66" s="40" t="s">
        <v>48</v>
      </c>
      <c r="Q66" s="40" t="s">
        <v>48</v>
      </c>
      <c r="R66" s="40" t="s">
        <v>48</v>
      </c>
      <c r="S66" s="40" t="s">
        <v>48</v>
      </c>
      <c r="T66" s="40" t="s">
        <v>48</v>
      </c>
      <c r="U66" s="40" t="s">
        <v>48</v>
      </c>
      <c r="V66" s="40" t="s">
        <v>48</v>
      </c>
      <c r="W66" s="40" t="s">
        <v>48</v>
      </c>
      <c r="X66" s="40" t="s">
        <v>48</v>
      </c>
      <c r="Y66" s="40" t="s">
        <v>48</v>
      </c>
      <c r="Z66" s="40" t="s">
        <v>48</v>
      </c>
      <c r="AA66" s="40" t="s">
        <v>48</v>
      </c>
      <c r="AB66" s="40" t="s">
        <v>48</v>
      </c>
    </row>
    <row r="67" spans="1:28" ht="17" x14ac:dyDescent="0.2">
      <c r="D67" s="49" t="s">
        <v>165</v>
      </c>
      <c r="E67" s="40" t="s">
        <v>47</v>
      </c>
      <c r="F67" s="40" t="s">
        <v>47</v>
      </c>
      <c r="G67" s="40" t="s">
        <v>47</v>
      </c>
      <c r="H67" s="40" t="s">
        <v>47</v>
      </c>
      <c r="I67" s="40" t="s">
        <v>47</v>
      </c>
      <c r="J67" s="40" t="s">
        <v>48</v>
      </c>
      <c r="K67" s="40" t="s">
        <v>48</v>
      </c>
      <c r="L67" s="40" t="s">
        <v>48</v>
      </c>
      <c r="M67" s="40" t="s">
        <v>48</v>
      </c>
      <c r="N67" s="40" t="s">
        <v>48</v>
      </c>
      <c r="O67" s="40" t="s">
        <v>48</v>
      </c>
      <c r="P67" s="40" t="s">
        <v>48</v>
      </c>
      <c r="Q67" s="40" t="s">
        <v>48</v>
      </c>
      <c r="R67" s="40" t="s">
        <v>48</v>
      </c>
      <c r="S67" s="40" t="s">
        <v>48</v>
      </c>
      <c r="T67" s="40" t="s">
        <v>48</v>
      </c>
      <c r="U67" s="40" t="s">
        <v>48</v>
      </c>
      <c r="V67" s="40" t="s">
        <v>48</v>
      </c>
      <c r="W67" s="40" t="s">
        <v>48</v>
      </c>
      <c r="X67" s="40" t="s">
        <v>48</v>
      </c>
      <c r="Y67" s="40" t="s">
        <v>48</v>
      </c>
      <c r="Z67" s="40" t="s">
        <v>48</v>
      </c>
      <c r="AA67" s="40" t="s">
        <v>48</v>
      </c>
      <c r="AB67" s="40" t="s">
        <v>48</v>
      </c>
    </row>
    <row r="68" spans="1:28" ht="17" x14ac:dyDescent="0.2">
      <c r="D68" s="49" t="s">
        <v>166</v>
      </c>
      <c r="E68" s="40" t="s">
        <v>47</v>
      </c>
      <c r="F68" s="40" t="s">
        <v>47</v>
      </c>
      <c r="G68" s="40" t="s">
        <v>47</v>
      </c>
      <c r="H68" s="40" t="s">
        <v>47</v>
      </c>
      <c r="I68" s="40" t="s">
        <v>47</v>
      </c>
      <c r="J68" s="40" t="s">
        <v>48</v>
      </c>
      <c r="K68" s="40" t="s">
        <v>48</v>
      </c>
      <c r="L68" s="40" t="s">
        <v>48</v>
      </c>
      <c r="M68" s="40" t="s">
        <v>48</v>
      </c>
      <c r="N68" s="40" t="s">
        <v>48</v>
      </c>
      <c r="O68" s="40" t="s">
        <v>48</v>
      </c>
      <c r="P68" s="40" t="s">
        <v>48</v>
      </c>
      <c r="Q68" s="40" t="s">
        <v>48</v>
      </c>
      <c r="R68" s="40" t="s">
        <v>48</v>
      </c>
      <c r="S68" s="40" t="s">
        <v>48</v>
      </c>
      <c r="T68" s="40" t="s">
        <v>48</v>
      </c>
      <c r="U68" s="40" t="s">
        <v>48</v>
      </c>
      <c r="V68" s="40" t="s">
        <v>48</v>
      </c>
      <c r="W68" s="40" t="s">
        <v>48</v>
      </c>
      <c r="X68" s="40" t="s">
        <v>48</v>
      </c>
      <c r="Y68" s="40" t="s">
        <v>48</v>
      </c>
      <c r="Z68" s="40" t="s">
        <v>48</v>
      </c>
      <c r="AA68" s="40" t="s">
        <v>48</v>
      </c>
      <c r="AB68" s="40" t="s">
        <v>48</v>
      </c>
    </row>
    <row r="69" spans="1:28" x14ac:dyDescent="0.2">
      <c r="E69" s="13">
        <v>10</v>
      </c>
      <c r="F69" s="13">
        <v>10</v>
      </c>
      <c r="G69" s="13">
        <v>10</v>
      </c>
      <c r="H69" s="13">
        <v>10</v>
      </c>
      <c r="I69" s="13">
        <v>10</v>
      </c>
      <c r="J69" s="13">
        <v>10</v>
      </c>
      <c r="K69" s="13">
        <v>10</v>
      </c>
      <c r="L69" s="13">
        <v>10</v>
      </c>
      <c r="M69" s="13">
        <v>10</v>
      </c>
      <c r="N69" s="13">
        <v>10</v>
      </c>
      <c r="O69" s="13">
        <v>10</v>
      </c>
    </row>
    <row r="71" spans="1:28" ht="17" x14ac:dyDescent="0.2">
      <c r="A71">
        <v>13</v>
      </c>
      <c r="B71" s="13" t="s">
        <v>171</v>
      </c>
      <c r="C71" s="51"/>
      <c r="D71" s="39" t="s">
        <v>167</v>
      </c>
      <c r="E71" s="46">
        <v>2022</v>
      </c>
      <c r="F71" s="46">
        <v>2021</v>
      </c>
      <c r="G71" s="47">
        <v>2020</v>
      </c>
      <c r="H71" s="47">
        <v>2019</v>
      </c>
      <c r="I71" s="47">
        <v>2018</v>
      </c>
      <c r="J71" s="46">
        <v>2017</v>
      </c>
      <c r="K71" s="46">
        <v>2016</v>
      </c>
      <c r="L71" s="47">
        <v>2015</v>
      </c>
      <c r="M71" s="47">
        <v>2014</v>
      </c>
      <c r="N71" s="46">
        <v>2013</v>
      </c>
      <c r="O71" s="46">
        <v>2012</v>
      </c>
      <c r="P71" s="40">
        <v>2011</v>
      </c>
      <c r="Q71" s="40">
        <v>2010</v>
      </c>
      <c r="R71" s="40">
        <v>2009</v>
      </c>
      <c r="S71" s="40">
        <v>2008</v>
      </c>
      <c r="T71" s="40">
        <v>2007</v>
      </c>
      <c r="U71" s="40">
        <v>2006</v>
      </c>
      <c r="V71" s="40">
        <v>2005</v>
      </c>
      <c r="W71" s="40">
        <v>2004</v>
      </c>
      <c r="X71" s="40">
        <v>2003</v>
      </c>
      <c r="Y71" s="40">
        <v>2002</v>
      </c>
      <c r="Z71" s="40">
        <v>2000</v>
      </c>
      <c r="AA71" s="40">
        <v>1998</v>
      </c>
      <c r="AB71" s="40">
        <v>1996</v>
      </c>
    </row>
    <row r="72" spans="1:28" ht="17" x14ac:dyDescent="0.2">
      <c r="D72" s="41" t="s">
        <v>168</v>
      </c>
      <c r="E72" s="40" t="s">
        <v>48</v>
      </c>
      <c r="F72" s="40" t="s">
        <v>48</v>
      </c>
      <c r="G72" s="40" t="s">
        <v>48</v>
      </c>
      <c r="H72" s="40" t="s">
        <v>48</v>
      </c>
      <c r="I72" s="40" t="s">
        <v>48</v>
      </c>
      <c r="J72" s="40" t="s">
        <v>48</v>
      </c>
      <c r="K72" s="40" t="s">
        <v>48</v>
      </c>
      <c r="L72" s="40" t="s">
        <v>47</v>
      </c>
      <c r="M72" s="40" t="s">
        <v>47</v>
      </c>
      <c r="N72" s="40" t="s">
        <v>47</v>
      </c>
      <c r="O72" s="40" t="s">
        <v>47</v>
      </c>
      <c r="P72" s="40" t="s">
        <v>47</v>
      </c>
      <c r="Q72" s="40" t="s">
        <v>47</v>
      </c>
      <c r="R72" s="40" t="s">
        <v>47</v>
      </c>
      <c r="S72" s="40" t="s">
        <v>47</v>
      </c>
      <c r="T72" s="40" t="s">
        <v>47</v>
      </c>
      <c r="U72" s="40" t="s">
        <v>47</v>
      </c>
      <c r="V72" s="40" t="s">
        <v>47</v>
      </c>
      <c r="W72" s="40" t="s">
        <v>47</v>
      </c>
      <c r="X72" s="40" t="s">
        <v>48</v>
      </c>
      <c r="Y72" s="40" t="s">
        <v>48</v>
      </c>
      <c r="Z72" s="40" t="s">
        <v>48</v>
      </c>
      <c r="AA72" s="40" t="s">
        <v>48</v>
      </c>
      <c r="AB72" s="40" t="s">
        <v>48</v>
      </c>
    </row>
    <row r="73" spans="1:28" ht="34" x14ac:dyDescent="0.2">
      <c r="D73" s="41" t="s">
        <v>169</v>
      </c>
      <c r="E73" s="40" t="s">
        <v>47</v>
      </c>
      <c r="F73" s="40" t="s">
        <v>47</v>
      </c>
      <c r="G73" s="40" t="s">
        <v>47</v>
      </c>
      <c r="H73" s="40" t="s">
        <v>47</v>
      </c>
      <c r="I73" s="40" t="s">
        <v>47</v>
      </c>
      <c r="J73" s="40" t="s">
        <v>47</v>
      </c>
      <c r="K73" s="40" t="s">
        <v>47</v>
      </c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</row>
    <row r="74" spans="1:28" ht="17" x14ac:dyDescent="0.2">
      <c r="D74" s="41" t="s">
        <v>170</v>
      </c>
      <c r="E74" s="40" t="s">
        <v>47</v>
      </c>
      <c r="F74" s="40" t="s">
        <v>47</v>
      </c>
      <c r="G74" s="40" t="s">
        <v>47</v>
      </c>
      <c r="H74" s="40" t="s">
        <v>47</v>
      </c>
      <c r="I74" s="40" t="s">
        <v>47</v>
      </c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</row>
    <row r="75" spans="1:28" x14ac:dyDescent="0.2">
      <c r="E75" s="13">
        <v>10</v>
      </c>
      <c r="F75" s="13">
        <v>10</v>
      </c>
      <c r="G75" s="13">
        <v>10</v>
      </c>
      <c r="H75" s="13">
        <v>10</v>
      </c>
      <c r="I75" s="13">
        <v>10</v>
      </c>
      <c r="J75" s="13">
        <v>10</v>
      </c>
      <c r="K75" s="13">
        <v>10</v>
      </c>
      <c r="L75" s="13">
        <v>10</v>
      </c>
      <c r="M75" s="13">
        <v>10</v>
      </c>
      <c r="N75" s="13">
        <v>10</v>
      </c>
      <c r="O75" s="13">
        <v>10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90E28-A0B2-F34B-BF34-5D800E17B240}">
  <dimension ref="A2:AA46"/>
  <sheetViews>
    <sheetView zoomScale="75" workbookViewId="0">
      <selection activeCell="B22" sqref="B22"/>
    </sheetView>
  </sheetViews>
  <sheetFormatPr baseColWidth="10" defaultRowHeight="16" x14ac:dyDescent="0.2"/>
  <cols>
    <col min="1" max="1" width="6.33203125" style="13" customWidth="1"/>
    <col min="2" max="2" width="79.83203125" style="42" customWidth="1"/>
    <col min="3" max="13" width="10.83203125" style="13"/>
    <col min="14" max="26" width="0" style="13" hidden="1" customWidth="1"/>
    <col min="27" max="27" width="10.83203125" style="13"/>
  </cols>
  <sheetData>
    <row r="2" spans="1:27" s="44" customFormat="1" ht="17" x14ac:dyDescent="0.2">
      <c r="A2" s="45"/>
      <c r="B2" s="38" t="s">
        <v>53</v>
      </c>
      <c r="C2" s="14">
        <v>2022</v>
      </c>
      <c r="D2" s="14">
        <v>2021</v>
      </c>
      <c r="E2" s="14">
        <v>2020</v>
      </c>
      <c r="F2" s="14">
        <v>2019</v>
      </c>
      <c r="G2" s="14">
        <v>2018</v>
      </c>
      <c r="H2" s="14">
        <v>2017</v>
      </c>
      <c r="I2" s="14">
        <v>2016</v>
      </c>
      <c r="J2" s="14">
        <v>2015</v>
      </c>
      <c r="K2" s="14">
        <v>2014</v>
      </c>
      <c r="L2" s="14">
        <v>2013</v>
      </c>
      <c r="M2" s="14">
        <v>2012</v>
      </c>
      <c r="N2" s="14">
        <v>2011</v>
      </c>
      <c r="O2" s="14">
        <v>2010</v>
      </c>
      <c r="P2" s="14">
        <v>2009</v>
      </c>
      <c r="Q2" s="14">
        <v>2008</v>
      </c>
      <c r="R2" s="14">
        <v>2007</v>
      </c>
      <c r="S2" s="14">
        <v>2006</v>
      </c>
      <c r="T2" s="14">
        <v>2005</v>
      </c>
      <c r="U2" s="14">
        <v>2004</v>
      </c>
      <c r="V2" s="14">
        <v>2003</v>
      </c>
      <c r="W2" s="14">
        <v>2002</v>
      </c>
      <c r="X2" s="14">
        <v>2000</v>
      </c>
      <c r="Y2" s="14">
        <v>1998</v>
      </c>
      <c r="Z2" s="14">
        <v>1996</v>
      </c>
      <c r="AA2" s="45"/>
    </row>
    <row r="4" spans="1:27" ht="17" x14ac:dyDescent="0.2">
      <c r="A4" s="29">
        <v>1</v>
      </c>
      <c r="B4" s="39" t="s">
        <v>49</v>
      </c>
      <c r="C4" s="40">
        <v>2022</v>
      </c>
      <c r="D4" s="40">
        <v>2021</v>
      </c>
      <c r="E4" s="40">
        <v>2020</v>
      </c>
      <c r="F4" s="46">
        <v>2019</v>
      </c>
      <c r="G4" s="46">
        <v>2018</v>
      </c>
      <c r="H4" s="47">
        <v>2017</v>
      </c>
      <c r="I4" s="47">
        <v>2016</v>
      </c>
      <c r="J4" s="46">
        <v>2015</v>
      </c>
      <c r="K4" s="46">
        <v>2014</v>
      </c>
      <c r="L4" s="47">
        <v>2013</v>
      </c>
      <c r="M4" s="47">
        <v>2012</v>
      </c>
      <c r="N4" s="40">
        <v>2011</v>
      </c>
      <c r="O4" s="40">
        <v>2010</v>
      </c>
      <c r="P4" s="40">
        <v>2009</v>
      </c>
      <c r="Q4" s="40">
        <v>2008</v>
      </c>
      <c r="R4" s="40">
        <v>2007</v>
      </c>
      <c r="S4" s="40">
        <v>2006</v>
      </c>
      <c r="T4" s="40">
        <v>2005</v>
      </c>
      <c r="U4" s="40">
        <v>2004</v>
      </c>
      <c r="V4" s="40">
        <v>2003</v>
      </c>
      <c r="W4" s="40">
        <v>2002</v>
      </c>
      <c r="X4" s="40">
        <v>2000</v>
      </c>
      <c r="Y4" s="40">
        <v>1998</v>
      </c>
      <c r="Z4" s="40">
        <v>1996</v>
      </c>
    </row>
    <row r="5" spans="1:27" ht="17" x14ac:dyDescent="0.2">
      <c r="B5" s="41" t="s">
        <v>45</v>
      </c>
      <c r="C5" s="40" t="s">
        <v>47</v>
      </c>
      <c r="D5" s="40" t="s">
        <v>47</v>
      </c>
      <c r="E5" s="40" t="s">
        <v>47</v>
      </c>
      <c r="F5" s="40" t="s">
        <v>47</v>
      </c>
      <c r="G5" s="40" t="s">
        <v>47</v>
      </c>
      <c r="H5" s="40" t="s">
        <v>47</v>
      </c>
      <c r="I5" s="40" t="s">
        <v>47</v>
      </c>
      <c r="J5" s="40" t="s">
        <v>47</v>
      </c>
      <c r="K5" s="40" t="s">
        <v>47</v>
      </c>
      <c r="L5" s="40" t="s">
        <v>47</v>
      </c>
      <c r="M5" s="40" t="s">
        <v>47</v>
      </c>
      <c r="N5" s="40" t="s">
        <v>47</v>
      </c>
      <c r="O5" s="40" t="s">
        <v>47</v>
      </c>
      <c r="P5" s="40" t="s">
        <v>47</v>
      </c>
      <c r="Q5" s="40" t="s">
        <v>47</v>
      </c>
      <c r="R5" s="40" t="s">
        <v>47</v>
      </c>
      <c r="S5" s="40" t="s">
        <v>47</v>
      </c>
      <c r="T5" s="40" t="s">
        <v>47</v>
      </c>
      <c r="U5" s="40" t="s">
        <v>47</v>
      </c>
      <c r="V5" s="40" t="s">
        <v>47</v>
      </c>
      <c r="W5" s="40" t="s">
        <v>48</v>
      </c>
      <c r="X5" s="40" t="s">
        <v>48</v>
      </c>
      <c r="Y5" s="40" t="s">
        <v>48</v>
      </c>
      <c r="Z5" s="40" t="s">
        <v>48</v>
      </c>
    </row>
    <row r="6" spans="1:27" ht="17" x14ac:dyDescent="0.2">
      <c r="B6" s="41" t="s">
        <v>46</v>
      </c>
      <c r="C6" s="40" t="s">
        <v>48</v>
      </c>
      <c r="D6" s="40" t="s">
        <v>48</v>
      </c>
      <c r="E6" s="40" t="s">
        <v>48</v>
      </c>
      <c r="F6" s="40" t="s">
        <v>48</v>
      </c>
      <c r="G6" s="40" t="s">
        <v>48</v>
      </c>
      <c r="H6" s="40" t="s">
        <v>48</v>
      </c>
      <c r="I6" s="40" t="s">
        <v>48</v>
      </c>
      <c r="J6" s="40" t="s">
        <v>47</v>
      </c>
      <c r="K6" s="40" t="s">
        <v>47</v>
      </c>
      <c r="L6" s="40" t="s">
        <v>47</v>
      </c>
      <c r="M6" s="40" t="s">
        <v>47</v>
      </c>
      <c r="N6" s="40" t="s">
        <v>47</v>
      </c>
      <c r="O6" s="40" t="s">
        <v>47</v>
      </c>
      <c r="P6" s="40" t="s">
        <v>47</v>
      </c>
      <c r="Q6" s="40" t="s">
        <v>47</v>
      </c>
      <c r="R6" s="40" t="s">
        <v>47</v>
      </c>
      <c r="S6" s="40" t="s">
        <v>47</v>
      </c>
      <c r="T6" s="40" t="s">
        <v>47</v>
      </c>
      <c r="U6" s="40" t="s">
        <v>47</v>
      </c>
      <c r="V6" s="40" t="s">
        <v>47</v>
      </c>
      <c r="W6" s="40" t="s">
        <v>48</v>
      </c>
      <c r="X6" s="40" t="s">
        <v>48</v>
      </c>
      <c r="Y6" s="40" t="s">
        <v>48</v>
      </c>
      <c r="Z6" s="40" t="s">
        <v>48</v>
      </c>
    </row>
    <row r="7" spans="1:27" x14ac:dyDescent="0.2">
      <c r="C7" s="13">
        <v>10</v>
      </c>
      <c r="D7" s="13">
        <v>10</v>
      </c>
      <c r="E7" s="13">
        <v>10</v>
      </c>
      <c r="F7" s="13">
        <v>10</v>
      </c>
      <c r="G7" s="13">
        <v>10</v>
      </c>
      <c r="H7" s="13">
        <v>10</v>
      </c>
      <c r="I7" s="13">
        <v>10</v>
      </c>
      <c r="J7" s="13">
        <v>10</v>
      </c>
      <c r="K7" s="13">
        <v>10</v>
      </c>
      <c r="L7" s="13">
        <v>10</v>
      </c>
      <c r="M7" s="13">
        <v>10</v>
      </c>
    </row>
    <row r="9" spans="1:27" ht="17" x14ac:dyDescent="0.2">
      <c r="A9" s="29">
        <v>2</v>
      </c>
      <c r="B9" s="39" t="s">
        <v>14</v>
      </c>
      <c r="C9" s="40">
        <v>2022</v>
      </c>
      <c r="D9" s="40">
        <v>2021</v>
      </c>
      <c r="E9" s="40">
        <v>2020</v>
      </c>
      <c r="F9" s="40">
        <v>2019</v>
      </c>
      <c r="G9" s="40">
        <v>2018</v>
      </c>
      <c r="H9" s="40">
        <v>2017</v>
      </c>
      <c r="I9" s="40">
        <v>2016</v>
      </c>
      <c r="J9" s="40">
        <v>2015</v>
      </c>
      <c r="K9" s="40">
        <v>2014</v>
      </c>
      <c r="L9" s="40">
        <v>2013</v>
      </c>
      <c r="M9" s="40">
        <v>2012</v>
      </c>
      <c r="N9" s="40">
        <v>2011</v>
      </c>
      <c r="O9" s="40">
        <v>2010</v>
      </c>
      <c r="P9" s="40">
        <v>2009</v>
      </c>
      <c r="Q9" s="40">
        <v>2008</v>
      </c>
      <c r="R9" s="40">
        <v>2007</v>
      </c>
      <c r="S9" s="40">
        <v>2006</v>
      </c>
      <c r="T9" s="40">
        <v>2005</v>
      </c>
      <c r="U9" s="40">
        <v>2004</v>
      </c>
      <c r="V9" s="40">
        <v>2003</v>
      </c>
      <c r="W9" s="40">
        <v>2002</v>
      </c>
      <c r="X9" s="40">
        <v>2000</v>
      </c>
      <c r="Y9" s="40">
        <v>1998</v>
      </c>
      <c r="Z9" s="40">
        <v>1996</v>
      </c>
    </row>
    <row r="10" spans="1:27" ht="17" x14ac:dyDescent="0.2">
      <c r="B10" s="41" t="s">
        <v>52</v>
      </c>
      <c r="C10" s="40" t="s">
        <v>47</v>
      </c>
      <c r="D10" s="40" t="s">
        <v>47</v>
      </c>
      <c r="E10" s="40" t="s">
        <v>47</v>
      </c>
      <c r="F10" s="40" t="s">
        <v>47</v>
      </c>
      <c r="G10" s="40" t="s">
        <v>47</v>
      </c>
      <c r="H10" s="40" t="s">
        <v>47</v>
      </c>
      <c r="I10" s="40" t="s">
        <v>47</v>
      </c>
      <c r="J10" s="40" t="s">
        <v>47</v>
      </c>
      <c r="K10" s="40" t="s">
        <v>47</v>
      </c>
      <c r="L10" s="40" t="s">
        <v>47</v>
      </c>
      <c r="M10" s="40" t="s">
        <v>47</v>
      </c>
      <c r="N10" s="40" t="s">
        <v>47</v>
      </c>
      <c r="O10" s="40" t="s">
        <v>47</v>
      </c>
      <c r="P10" s="40" t="s">
        <v>47</v>
      </c>
      <c r="Q10" s="40" t="s">
        <v>47</v>
      </c>
      <c r="R10" s="40" t="s">
        <v>47</v>
      </c>
      <c r="S10" s="40" t="s">
        <v>47</v>
      </c>
      <c r="T10" s="40" t="s">
        <v>47</v>
      </c>
      <c r="U10" s="40" t="s">
        <v>47</v>
      </c>
      <c r="V10" s="40" t="s">
        <v>47</v>
      </c>
      <c r="W10" s="40" t="s">
        <v>47</v>
      </c>
      <c r="X10" s="40" t="s">
        <v>47</v>
      </c>
      <c r="Y10" s="40" t="s">
        <v>47</v>
      </c>
      <c r="Z10" s="40" t="s">
        <v>47</v>
      </c>
    </row>
    <row r="11" spans="1:27" x14ac:dyDescent="0.2">
      <c r="C11" s="13">
        <v>10</v>
      </c>
      <c r="D11" s="13">
        <v>10</v>
      </c>
      <c r="E11" s="13">
        <v>10</v>
      </c>
      <c r="F11" s="13">
        <v>10</v>
      </c>
      <c r="G11" s="13">
        <v>10</v>
      </c>
      <c r="H11" s="13">
        <v>10</v>
      </c>
      <c r="I11" s="13">
        <v>10</v>
      </c>
      <c r="J11" s="13">
        <v>10</v>
      </c>
      <c r="K11" s="13">
        <v>10</v>
      </c>
      <c r="L11" s="13">
        <v>10</v>
      </c>
      <c r="M11" s="13">
        <v>10</v>
      </c>
    </row>
    <row r="13" spans="1:27" ht="17" x14ac:dyDescent="0.2">
      <c r="A13" s="29">
        <v>3</v>
      </c>
      <c r="B13" s="39" t="s">
        <v>55</v>
      </c>
      <c r="C13" s="40">
        <v>2022</v>
      </c>
      <c r="D13" s="40">
        <v>2021</v>
      </c>
      <c r="E13" s="40">
        <v>2020</v>
      </c>
      <c r="F13" s="40">
        <v>2019</v>
      </c>
      <c r="G13" s="40">
        <v>2018</v>
      </c>
      <c r="H13" s="40">
        <v>2017</v>
      </c>
      <c r="I13" s="40">
        <v>2016</v>
      </c>
      <c r="J13" s="40">
        <v>2015</v>
      </c>
      <c r="K13" s="40">
        <v>2014</v>
      </c>
      <c r="L13" s="40">
        <v>2013</v>
      </c>
      <c r="M13" s="40">
        <v>2012</v>
      </c>
      <c r="N13" s="40">
        <v>2011</v>
      </c>
      <c r="O13" s="40">
        <v>2010</v>
      </c>
      <c r="P13" s="40">
        <v>2009</v>
      </c>
      <c r="Q13" s="40">
        <v>2008</v>
      </c>
      <c r="R13" s="40">
        <v>2007</v>
      </c>
      <c r="S13" s="40">
        <v>2006</v>
      </c>
      <c r="T13" s="40">
        <v>2005</v>
      </c>
      <c r="U13" s="40">
        <v>2004</v>
      </c>
      <c r="V13" s="40">
        <v>2003</v>
      </c>
      <c r="W13" s="40">
        <v>2002</v>
      </c>
      <c r="X13" s="40">
        <v>2000</v>
      </c>
      <c r="Y13" s="40">
        <v>1998</v>
      </c>
      <c r="Z13" s="40">
        <v>1996</v>
      </c>
    </row>
    <row r="14" spans="1:27" ht="17" x14ac:dyDescent="0.2">
      <c r="B14" s="41" t="s">
        <v>56</v>
      </c>
      <c r="C14" s="40" t="s">
        <v>48</v>
      </c>
      <c r="D14" s="40" t="s">
        <v>47</v>
      </c>
      <c r="E14" s="40" t="s">
        <v>47</v>
      </c>
      <c r="F14" s="40" t="s">
        <v>47</v>
      </c>
      <c r="G14" s="40" t="s">
        <v>47</v>
      </c>
      <c r="H14" s="40" t="s">
        <v>47</v>
      </c>
      <c r="I14" s="40" t="s">
        <v>47</v>
      </c>
      <c r="J14" s="40" t="s">
        <v>47</v>
      </c>
      <c r="K14" s="40" t="s">
        <v>47</v>
      </c>
      <c r="L14" s="40" t="s">
        <v>47</v>
      </c>
      <c r="M14" s="40" t="s">
        <v>47</v>
      </c>
      <c r="N14" s="40" t="s">
        <v>47</v>
      </c>
      <c r="O14" s="40" t="s">
        <v>47</v>
      </c>
      <c r="P14" s="40" t="s">
        <v>47</v>
      </c>
      <c r="Q14" s="40" t="s">
        <v>47</v>
      </c>
      <c r="R14" s="40" t="s">
        <v>47</v>
      </c>
      <c r="S14" s="40" t="s">
        <v>47</v>
      </c>
      <c r="T14" s="40" t="s">
        <v>47</v>
      </c>
      <c r="U14" s="40" t="s">
        <v>47</v>
      </c>
      <c r="V14" s="40" t="s">
        <v>47</v>
      </c>
      <c r="W14" s="40" t="s">
        <v>47</v>
      </c>
      <c r="X14" s="40" t="s">
        <v>47</v>
      </c>
      <c r="Y14" s="40" t="s">
        <v>48</v>
      </c>
      <c r="Z14" s="40" t="s">
        <v>48</v>
      </c>
    </row>
    <row r="15" spans="1:27" ht="17" x14ac:dyDescent="0.2">
      <c r="B15" s="41" t="s">
        <v>57</v>
      </c>
      <c r="C15" s="40" t="s">
        <v>47</v>
      </c>
      <c r="D15" s="40" t="s">
        <v>47</v>
      </c>
      <c r="E15" s="40" t="s">
        <v>47</v>
      </c>
      <c r="F15" s="40" t="s">
        <v>47</v>
      </c>
      <c r="G15" s="40" t="s">
        <v>47</v>
      </c>
      <c r="H15" s="40" t="s">
        <v>47</v>
      </c>
      <c r="I15" s="40" t="s">
        <v>47</v>
      </c>
      <c r="J15" s="40" t="s">
        <v>47</v>
      </c>
      <c r="K15" s="40" t="s">
        <v>47</v>
      </c>
      <c r="L15" s="40" t="s">
        <v>47</v>
      </c>
      <c r="M15" s="40" t="s">
        <v>47</v>
      </c>
      <c r="N15" s="40" t="s">
        <v>47</v>
      </c>
      <c r="O15" s="40" t="s">
        <v>47</v>
      </c>
      <c r="P15" s="40" t="s">
        <v>47</v>
      </c>
      <c r="Q15" s="40" t="s">
        <v>47</v>
      </c>
      <c r="R15" s="40" t="s">
        <v>47</v>
      </c>
      <c r="S15" s="40" t="s">
        <v>47</v>
      </c>
      <c r="T15" s="40" t="s">
        <v>47</v>
      </c>
      <c r="U15" s="40" t="s">
        <v>47</v>
      </c>
      <c r="V15" s="40" t="s">
        <v>47</v>
      </c>
      <c r="W15" s="40" t="s">
        <v>47</v>
      </c>
      <c r="X15" s="40" t="s">
        <v>48</v>
      </c>
      <c r="Y15" s="40" t="s">
        <v>48</v>
      </c>
      <c r="Z15" s="40" t="s">
        <v>48</v>
      </c>
    </row>
    <row r="16" spans="1:27" ht="17" x14ac:dyDescent="0.2">
      <c r="B16" s="41" t="s">
        <v>58</v>
      </c>
      <c r="C16" s="40" t="s">
        <v>47</v>
      </c>
      <c r="D16" s="40" t="s">
        <v>47</v>
      </c>
      <c r="E16" s="40" t="s">
        <v>47</v>
      </c>
      <c r="F16" s="40" t="s">
        <v>47</v>
      </c>
      <c r="G16" s="40" t="s">
        <v>47</v>
      </c>
      <c r="H16" s="40" t="s">
        <v>47</v>
      </c>
      <c r="I16" s="40" t="s">
        <v>47</v>
      </c>
      <c r="J16" s="40" t="s">
        <v>47</v>
      </c>
      <c r="K16" s="40" t="s">
        <v>47</v>
      </c>
      <c r="L16" s="40" t="s">
        <v>47</v>
      </c>
      <c r="M16" s="40" t="s">
        <v>47</v>
      </c>
      <c r="N16" s="40" t="s">
        <v>47</v>
      </c>
      <c r="O16" s="40" t="s">
        <v>47</v>
      </c>
      <c r="P16" s="40" t="s">
        <v>47</v>
      </c>
      <c r="Q16" s="40" t="s">
        <v>47</v>
      </c>
      <c r="R16" s="40" t="s">
        <v>47</v>
      </c>
      <c r="S16" s="40" t="s">
        <v>47</v>
      </c>
      <c r="T16" s="40" t="s">
        <v>47</v>
      </c>
      <c r="U16" s="40" t="s">
        <v>47</v>
      </c>
      <c r="V16" s="40" t="s">
        <v>47</v>
      </c>
      <c r="W16" s="40" t="s">
        <v>47</v>
      </c>
      <c r="X16" s="40" t="s">
        <v>47</v>
      </c>
      <c r="Y16" s="40" t="s">
        <v>47</v>
      </c>
      <c r="Z16" s="40" t="s">
        <v>47</v>
      </c>
    </row>
    <row r="17" spans="1:26" ht="17" x14ac:dyDescent="0.2">
      <c r="B17" s="41" t="s">
        <v>59</v>
      </c>
      <c r="C17" s="40" t="s">
        <v>47</v>
      </c>
      <c r="D17" s="40" t="s">
        <v>47</v>
      </c>
      <c r="E17" s="40" t="s">
        <v>47</v>
      </c>
      <c r="F17" s="40" t="s">
        <v>47</v>
      </c>
      <c r="G17" s="40" t="s">
        <v>47</v>
      </c>
      <c r="H17" s="40" t="s">
        <v>47</v>
      </c>
      <c r="I17" s="40" t="s">
        <v>47</v>
      </c>
      <c r="J17" s="40" t="s">
        <v>47</v>
      </c>
      <c r="K17" s="40" t="s">
        <v>47</v>
      </c>
      <c r="L17" s="40" t="s">
        <v>47</v>
      </c>
      <c r="M17" s="40" t="s">
        <v>47</v>
      </c>
      <c r="N17" s="40" t="s">
        <v>47</v>
      </c>
      <c r="O17" s="40" t="s">
        <v>47</v>
      </c>
      <c r="P17" s="40" t="s">
        <v>47</v>
      </c>
      <c r="Q17" s="40" t="s">
        <v>47</v>
      </c>
      <c r="R17" s="40" t="s">
        <v>47</v>
      </c>
      <c r="S17" s="40" t="s">
        <v>47</v>
      </c>
      <c r="T17" s="40" t="s">
        <v>47</v>
      </c>
      <c r="U17" s="40" t="s">
        <v>47</v>
      </c>
      <c r="V17" s="40" t="s">
        <v>47</v>
      </c>
      <c r="W17" s="40" t="s">
        <v>47</v>
      </c>
      <c r="X17" s="40" t="s">
        <v>47</v>
      </c>
      <c r="Y17" s="40" t="s">
        <v>48</v>
      </c>
      <c r="Z17" s="40" t="s">
        <v>48</v>
      </c>
    </row>
    <row r="18" spans="1:26" ht="17" x14ac:dyDescent="0.2">
      <c r="B18" s="41" t="s">
        <v>60</v>
      </c>
      <c r="C18" s="40" t="s">
        <v>47</v>
      </c>
      <c r="D18" s="40" t="s">
        <v>47</v>
      </c>
      <c r="E18" s="40" t="s">
        <v>47</v>
      </c>
      <c r="F18" s="40" t="s">
        <v>47</v>
      </c>
      <c r="G18" s="40" t="s">
        <v>47</v>
      </c>
      <c r="H18" s="40" t="s">
        <v>47</v>
      </c>
      <c r="I18" s="40" t="s">
        <v>47</v>
      </c>
      <c r="J18" s="40" t="s">
        <v>47</v>
      </c>
      <c r="K18" s="40" t="s">
        <v>47</v>
      </c>
      <c r="L18" s="40" t="s">
        <v>47</v>
      </c>
      <c r="M18" s="40" t="s">
        <v>47</v>
      </c>
      <c r="N18" s="40" t="s">
        <v>47</v>
      </c>
      <c r="O18" s="40" t="s">
        <v>47</v>
      </c>
      <c r="P18" s="40" t="s">
        <v>47</v>
      </c>
      <c r="Q18" s="40" t="s">
        <v>47</v>
      </c>
      <c r="R18" s="40" t="s">
        <v>47</v>
      </c>
      <c r="S18" s="40" t="s">
        <v>47</v>
      </c>
      <c r="T18" s="40" t="s">
        <v>47</v>
      </c>
      <c r="U18" s="40" t="s">
        <v>47</v>
      </c>
      <c r="V18" s="40" t="s">
        <v>47</v>
      </c>
      <c r="W18" s="40" t="s">
        <v>47</v>
      </c>
      <c r="X18" s="40" t="s">
        <v>47</v>
      </c>
      <c r="Y18" s="40" t="s">
        <v>48</v>
      </c>
      <c r="Z18" s="40" t="s">
        <v>48</v>
      </c>
    </row>
    <row r="19" spans="1:26" ht="17" x14ac:dyDescent="0.2">
      <c r="B19" s="41" t="s">
        <v>61</v>
      </c>
      <c r="C19" s="40" t="s">
        <v>47</v>
      </c>
      <c r="D19" s="40" t="s">
        <v>47</v>
      </c>
      <c r="E19" s="40" t="s">
        <v>47</v>
      </c>
      <c r="F19" s="40" t="s">
        <v>47</v>
      </c>
      <c r="G19" s="40" t="s">
        <v>47</v>
      </c>
      <c r="H19" s="40" t="s">
        <v>47</v>
      </c>
      <c r="I19" s="40" t="s">
        <v>47</v>
      </c>
      <c r="J19" s="40" t="s">
        <v>47</v>
      </c>
      <c r="K19" s="40" t="s">
        <v>47</v>
      </c>
      <c r="L19" s="40" t="s">
        <v>47</v>
      </c>
      <c r="M19" s="40" t="s">
        <v>47</v>
      </c>
      <c r="N19" s="40" t="s">
        <v>47</v>
      </c>
      <c r="O19" s="40" t="s">
        <v>47</v>
      </c>
      <c r="P19" s="40" t="s">
        <v>47</v>
      </c>
      <c r="Q19" s="40" t="s">
        <v>47</v>
      </c>
      <c r="R19" s="40" t="s">
        <v>47</v>
      </c>
      <c r="S19" s="40" t="s">
        <v>47</v>
      </c>
      <c r="T19" s="40" t="s">
        <v>47</v>
      </c>
      <c r="U19" s="40" t="s">
        <v>47</v>
      </c>
      <c r="V19" s="40" t="s">
        <v>47</v>
      </c>
      <c r="W19" s="40" t="s">
        <v>47</v>
      </c>
      <c r="X19" s="40" t="s">
        <v>47</v>
      </c>
      <c r="Y19" s="40" t="s">
        <v>48</v>
      </c>
      <c r="Z19" s="40" t="s">
        <v>48</v>
      </c>
    </row>
    <row r="20" spans="1:26" ht="17" x14ac:dyDescent="0.2">
      <c r="B20" s="41" t="s">
        <v>62</v>
      </c>
      <c r="C20" s="40" t="s">
        <v>47</v>
      </c>
      <c r="D20" s="40" t="s">
        <v>47</v>
      </c>
      <c r="E20" s="40" t="s">
        <v>47</v>
      </c>
      <c r="F20" s="40" t="s">
        <v>47</v>
      </c>
      <c r="G20" s="40" t="s">
        <v>47</v>
      </c>
      <c r="H20" s="40" t="s">
        <v>47</v>
      </c>
      <c r="I20" s="40" t="s">
        <v>47</v>
      </c>
      <c r="J20" s="40" t="s">
        <v>47</v>
      </c>
      <c r="K20" s="40" t="s">
        <v>47</v>
      </c>
      <c r="L20" s="40" t="s">
        <v>47</v>
      </c>
      <c r="M20" s="40" t="s">
        <v>47</v>
      </c>
      <c r="N20" s="40" t="s">
        <v>47</v>
      </c>
      <c r="O20" s="40" t="s">
        <v>47</v>
      </c>
      <c r="P20" s="40" t="s">
        <v>47</v>
      </c>
      <c r="Q20" s="40" t="s">
        <v>47</v>
      </c>
      <c r="R20" s="40" t="s">
        <v>47</v>
      </c>
      <c r="S20" s="40" t="s">
        <v>47</v>
      </c>
      <c r="T20" s="40" t="s">
        <v>47</v>
      </c>
      <c r="U20" s="40" t="s">
        <v>47</v>
      </c>
      <c r="V20" s="40" t="s">
        <v>47</v>
      </c>
      <c r="W20" s="40" t="s">
        <v>47</v>
      </c>
      <c r="X20" s="40" t="s">
        <v>48</v>
      </c>
      <c r="Y20" s="40" t="s">
        <v>47</v>
      </c>
      <c r="Z20" s="40" t="s">
        <v>48</v>
      </c>
    </row>
    <row r="21" spans="1:26" ht="17" x14ac:dyDescent="0.2">
      <c r="B21" s="41" t="s">
        <v>63</v>
      </c>
      <c r="C21" s="40" t="s">
        <v>48</v>
      </c>
      <c r="D21" s="40" t="s">
        <v>48</v>
      </c>
      <c r="E21" s="40" t="s">
        <v>48</v>
      </c>
      <c r="F21" s="40" t="s">
        <v>48</v>
      </c>
      <c r="G21" s="40" t="s">
        <v>48</v>
      </c>
      <c r="H21" s="40" t="s">
        <v>48</v>
      </c>
      <c r="I21" s="40" t="s">
        <v>48</v>
      </c>
      <c r="J21" s="40" t="s">
        <v>48</v>
      </c>
      <c r="K21" s="40" t="s">
        <v>48</v>
      </c>
      <c r="L21" s="40" t="s">
        <v>48</v>
      </c>
      <c r="M21" s="40" t="s">
        <v>48</v>
      </c>
      <c r="N21" s="40" t="s">
        <v>47</v>
      </c>
      <c r="O21" s="40" t="s">
        <v>47</v>
      </c>
      <c r="P21" s="40" t="s">
        <v>47</v>
      </c>
      <c r="Q21" s="40" t="s">
        <v>47</v>
      </c>
      <c r="R21" s="40" t="s">
        <v>47</v>
      </c>
      <c r="S21" s="40" t="s">
        <v>47</v>
      </c>
      <c r="T21" s="40" t="s">
        <v>47</v>
      </c>
      <c r="U21" s="40" t="s">
        <v>47</v>
      </c>
      <c r="V21" s="40" t="s">
        <v>47</v>
      </c>
      <c r="W21" s="40" t="s">
        <v>47</v>
      </c>
      <c r="X21" s="40" t="s">
        <v>47</v>
      </c>
      <c r="Y21" s="40" t="s">
        <v>48</v>
      </c>
      <c r="Z21" s="40" t="s">
        <v>48</v>
      </c>
    </row>
    <row r="22" spans="1:26" x14ac:dyDescent="0.2">
      <c r="C22" s="13">
        <v>10</v>
      </c>
      <c r="D22" s="13">
        <v>10</v>
      </c>
      <c r="E22" s="13">
        <v>10</v>
      </c>
      <c r="F22" s="13">
        <v>10</v>
      </c>
      <c r="G22" s="13">
        <v>10</v>
      </c>
      <c r="H22" s="13">
        <v>10</v>
      </c>
      <c r="I22" s="13">
        <v>10</v>
      </c>
      <c r="J22" s="13">
        <v>10</v>
      </c>
      <c r="K22" s="13">
        <v>10</v>
      </c>
      <c r="L22" s="13">
        <v>10</v>
      </c>
      <c r="M22" s="13">
        <v>10</v>
      </c>
    </row>
    <row r="24" spans="1:26" ht="17" x14ac:dyDescent="0.2">
      <c r="A24" s="29">
        <v>4</v>
      </c>
      <c r="B24" s="39" t="s">
        <v>33</v>
      </c>
      <c r="C24" s="40">
        <v>2022</v>
      </c>
      <c r="D24" s="40">
        <v>2021</v>
      </c>
      <c r="E24" s="40">
        <v>2020</v>
      </c>
      <c r="F24" s="40">
        <v>2019</v>
      </c>
      <c r="G24" s="40">
        <v>2018</v>
      </c>
      <c r="H24" s="40">
        <v>2017</v>
      </c>
      <c r="I24" s="40">
        <v>2016</v>
      </c>
      <c r="J24" s="40">
        <v>2015</v>
      </c>
      <c r="K24" s="40">
        <v>2014</v>
      </c>
      <c r="L24" s="40">
        <v>2013</v>
      </c>
      <c r="M24" s="40">
        <v>2012</v>
      </c>
      <c r="N24" s="40">
        <v>2011</v>
      </c>
      <c r="O24" s="40">
        <v>2010</v>
      </c>
      <c r="P24" s="40">
        <v>2009</v>
      </c>
      <c r="Q24" s="40">
        <v>2008</v>
      </c>
      <c r="R24" s="40">
        <v>2007</v>
      </c>
      <c r="S24" s="40">
        <v>2006</v>
      </c>
      <c r="T24" s="40">
        <v>2005</v>
      </c>
      <c r="U24" s="40">
        <v>2004</v>
      </c>
      <c r="V24" s="40">
        <v>2003</v>
      </c>
      <c r="W24" s="40">
        <v>2002</v>
      </c>
      <c r="X24" s="40">
        <v>2000</v>
      </c>
      <c r="Y24" s="40">
        <v>1998</v>
      </c>
      <c r="Z24" s="40">
        <v>1996</v>
      </c>
    </row>
    <row r="25" spans="1:26" ht="17" x14ac:dyDescent="0.2">
      <c r="B25" s="41" t="s">
        <v>68</v>
      </c>
      <c r="C25" s="40" t="s">
        <v>47</v>
      </c>
      <c r="D25" s="40" t="s">
        <v>47</v>
      </c>
      <c r="E25" s="40" t="s">
        <v>47</v>
      </c>
      <c r="F25" s="40" t="s">
        <v>47</v>
      </c>
      <c r="G25" s="40" t="s">
        <v>47</v>
      </c>
      <c r="H25" s="40" t="s">
        <v>47</v>
      </c>
      <c r="I25" s="40" t="s">
        <v>47</v>
      </c>
      <c r="J25" s="40" t="s">
        <v>47</v>
      </c>
      <c r="K25" s="40" t="s">
        <v>47</v>
      </c>
      <c r="L25" s="40" t="s">
        <v>47</v>
      </c>
      <c r="M25" s="40" t="s">
        <v>47</v>
      </c>
      <c r="N25" s="40" t="s">
        <v>47</v>
      </c>
      <c r="O25" s="40" t="s">
        <v>47</v>
      </c>
      <c r="P25" s="40" t="s">
        <v>47</v>
      </c>
      <c r="Q25" s="40" t="s">
        <v>47</v>
      </c>
      <c r="R25" s="40" t="s">
        <v>47</v>
      </c>
      <c r="S25" s="40" t="s">
        <v>47</v>
      </c>
      <c r="T25" s="40" t="s">
        <v>47</v>
      </c>
      <c r="U25" s="40" t="s">
        <v>47</v>
      </c>
      <c r="V25" s="40" t="s">
        <v>47</v>
      </c>
      <c r="W25" s="40" t="s">
        <v>47</v>
      </c>
      <c r="X25" s="40" t="s">
        <v>47</v>
      </c>
      <c r="Y25" s="40" t="s">
        <v>47</v>
      </c>
      <c r="Z25" s="40" t="s">
        <v>47</v>
      </c>
    </row>
    <row r="26" spans="1:26" x14ac:dyDescent="0.2">
      <c r="C26" s="13">
        <v>10</v>
      </c>
      <c r="D26" s="13">
        <v>10</v>
      </c>
      <c r="E26" s="13">
        <v>10</v>
      </c>
      <c r="F26" s="13">
        <v>10</v>
      </c>
      <c r="G26" s="13">
        <v>10</v>
      </c>
      <c r="H26" s="13">
        <v>10</v>
      </c>
      <c r="I26" s="13">
        <v>10</v>
      </c>
      <c r="J26" s="13">
        <v>10</v>
      </c>
      <c r="K26" s="13">
        <v>10</v>
      </c>
      <c r="L26" s="13">
        <v>10</v>
      </c>
      <c r="M26" s="13">
        <v>10</v>
      </c>
    </row>
    <row r="28" spans="1:26" ht="17" x14ac:dyDescent="0.2">
      <c r="A28" s="29">
        <v>5</v>
      </c>
      <c r="B28" s="39" t="s">
        <v>69</v>
      </c>
      <c r="C28" s="40">
        <v>2022</v>
      </c>
      <c r="D28" s="40">
        <v>2021</v>
      </c>
      <c r="E28" s="46">
        <v>2020</v>
      </c>
      <c r="F28" s="46">
        <v>2019</v>
      </c>
      <c r="G28" s="40">
        <v>2018</v>
      </c>
      <c r="H28" s="40">
        <v>2017</v>
      </c>
      <c r="I28" s="46">
        <v>2016</v>
      </c>
      <c r="J28" s="46">
        <v>2015</v>
      </c>
      <c r="K28" s="40">
        <v>2014</v>
      </c>
      <c r="L28" s="40">
        <v>2013</v>
      </c>
      <c r="M28" s="40">
        <v>2012</v>
      </c>
      <c r="N28" s="40">
        <v>2011</v>
      </c>
      <c r="O28" s="40">
        <v>2010</v>
      </c>
      <c r="P28" s="40">
        <v>2009</v>
      </c>
      <c r="Q28" s="40">
        <v>2008</v>
      </c>
      <c r="R28" s="40">
        <v>2007</v>
      </c>
      <c r="S28" s="40">
        <v>2006</v>
      </c>
      <c r="T28" s="40">
        <v>2005</v>
      </c>
      <c r="U28" s="40">
        <v>2004</v>
      </c>
      <c r="V28" s="40">
        <v>2003</v>
      </c>
      <c r="W28" s="40">
        <v>2002</v>
      </c>
      <c r="X28" s="40">
        <v>2000</v>
      </c>
      <c r="Y28" s="40">
        <v>1998</v>
      </c>
      <c r="Z28" s="40">
        <v>1996</v>
      </c>
    </row>
    <row r="29" spans="1:26" ht="17" x14ac:dyDescent="0.2">
      <c r="B29" s="41" t="s">
        <v>70</v>
      </c>
      <c r="C29" s="40" t="s">
        <v>47</v>
      </c>
      <c r="D29" s="40" t="s">
        <v>47</v>
      </c>
      <c r="E29" s="40" t="s">
        <v>47</v>
      </c>
      <c r="F29" s="40" t="s">
        <v>47</v>
      </c>
      <c r="G29" s="40" t="s">
        <v>47</v>
      </c>
      <c r="H29" s="40" t="s">
        <v>47</v>
      </c>
      <c r="I29" s="40" t="s">
        <v>47</v>
      </c>
      <c r="J29" s="40" t="s">
        <v>47</v>
      </c>
      <c r="K29" s="40" t="s">
        <v>47</v>
      </c>
      <c r="L29" s="40" t="s">
        <v>47</v>
      </c>
      <c r="M29" s="40" t="s">
        <v>47</v>
      </c>
      <c r="N29" s="40" t="s">
        <v>47</v>
      </c>
      <c r="O29" s="40" t="s">
        <v>48</v>
      </c>
      <c r="P29" s="40" t="s">
        <v>48</v>
      </c>
      <c r="Q29" s="40" t="s">
        <v>48</v>
      </c>
      <c r="R29" s="40" t="s">
        <v>48</v>
      </c>
      <c r="S29" s="40" t="s">
        <v>48</v>
      </c>
      <c r="T29" s="40" t="s">
        <v>48</v>
      </c>
      <c r="U29" s="40" t="s">
        <v>48</v>
      </c>
      <c r="V29" s="40" t="s">
        <v>48</v>
      </c>
      <c r="W29" s="40" t="s">
        <v>48</v>
      </c>
      <c r="X29" s="40" t="s">
        <v>48</v>
      </c>
      <c r="Y29" s="40" t="s">
        <v>48</v>
      </c>
      <c r="Z29" s="40" t="s">
        <v>48</v>
      </c>
    </row>
    <row r="30" spans="1:26" x14ac:dyDescent="0.2">
      <c r="E30" s="48" t="s">
        <v>175</v>
      </c>
      <c r="F30" s="48" t="s">
        <v>175</v>
      </c>
      <c r="G30" s="48" t="s">
        <v>175</v>
      </c>
      <c r="H30" s="48" t="s">
        <v>175</v>
      </c>
      <c r="I30" s="48" t="s">
        <v>175</v>
      </c>
      <c r="J30" s="48" t="s">
        <v>175</v>
      </c>
      <c r="K30" s="48" t="s">
        <v>175</v>
      </c>
      <c r="L30" s="48" t="s">
        <v>175</v>
      </c>
      <c r="M30" s="48" t="s">
        <v>175</v>
      </c>
    </row>
    <row r="32" spans="1:26" ht="17" x14ac:dyDescent="0.2">
      <c r="A32" s="29">
        <v>6</v>
      </c>
      <c r="B32" s="39" t="s">
        <v>155</v>
      </c>
      <c r="C32" s="40">
        <v>2022</v>
      </c>
      <c r="D32" s="40">
        <v>2021</v>
      </c>
      <c r="E32" s="40">
        <v>2020</v>
      </c>
      <c r="F32" s="40">
        <v>2019</v>
      </c>
      <c r="G32" s="40">
        <v>2018</v>
      </c>
      <c r="H32" s="40">
        <v>2017</v>
      </c>
      <c r="I32" s="40">
        <v>2016</v>
      </c>
      <c r="J32" s="40">
        <v>2015</v>
      </c>
      <c r="K32" s="40">
        <v>2014</v>
      </c>
      <c r="L32" s="40">
        <v>2013</v>
      </c>
      <c r="M32" s="40">
        <v>2012</v>
      </c>
      <c r="N32" s="40">
        <v>2011</v>
      </c>
      <c r="O32" s="40">
        <v>2010</v>
      </c>
      <c r="P32" s="40">
        <v>2009</v>
      </c>
      <c r="Q32" s="40">
        <v>2008</v>
      </c>
      <c r="R32" s="40">
        <v>2007</v>
      </c>
      <c r="S32" s="40">
        <v>2006</v>
      </c>
      <c r="T32" s="40">
        <v>2005</v>
      </c>
      <c r="U32" s="40">
        <v>2004</v>
      </c>
      <c r="V32" s="40">
        <v>2003</v>
      </c>
      <c r="W32" s="40">
        <v>2002</v>
      </c>
      <c r="X32" s="40">
        <v>2000</v>
      </c>
      <c r="Y32" s="40">
        <v>1998</v>
      </c>
      <c r="Z32" s="40">
        <v>1996</v>
      </c>
    </row>
    <row r="33" spans="1:26" ht="17" x14ac:dyDescent="0.2">
      <c r="B33" s="41" t="s">
        <v>154</v>
      </c>
      <c r="C33" s="40" t="s">
        <v>47</v>
      </c>
      <c r="D33" s="40" t="s">
        <v>47</v>
      </c>
      <c r="E33" s="40" t="s">
        <v>47</v>
      </c>
      <c r="F33" s="40" t="s">
        <v>47</v>
      </c>
      <c r="G33" s="40" t="s">
        <v>47</v>
      </c>
      <c r="H33" s="40" t="s">
        <v>47</v>
      </c>
      <c r="I33" s="40" t="s">
        <v>47</v>
      </c>
      <c r="J33" s="40" t="s">
        <v>47</v>
      </c>
      <c r="K33" s="40" t="s">
        <v>47</v>
      </c>
      <c r="L33" s="40" t="s">
        <v>47</v>
      </c>
      <c r="M33" s="40" t="s">
        <v>47</v>
      </c>
      <c r="N33" s="40" t="s">
        <v>47</v>
      </c>
      <c r="O33" s="40" t="s">
        <v>47</v>
      </c>
      <c r="P33" s="40" t="s">
        <v>47</v>
      </c>
      <c r="Q33" s="40" t="s">
        <v>47</v>
      </c>
      <c r="R33" s="40" t="s">
        <v>47</v>
      </c>
      <c r="S33" s="40" t="s">
        <v>47</v>
      </c>
      <c r="T33" s="40" t="s">
        <v>47</v>
      </c>
      <c r="U33" s="40" t="s">
        <v>47</v>
      </c>
      <c r="V33" s="40" t="s">
        <v>47</v>
      </c>
      <c r="W33" s="40" t="s">
        <v>47</v>
      </c>
      <c r="X33" s="40" t="s">
        <v>47</v>
      </c>
      <c r="Y33" s="40" t="s">
        <v>47</v>
      </c>
      <c r="Z33" s="40" t="s">
        <v>47</v>
      </c>
    </row>
    <row r="34" spans="1:26" x14ac:dyDescent="0.2">
      <c r="C34" s="13">
        <v>10</v>
      </c>
      <c r="D34" s="13">
        <v>10</v>
      </c>
      <c r="E34" s="13">
        <v>10</v>
      </c>
      <c r="F34" s="13">
        <v>10</v>
      </c>
      <c r="G34" s="13">
        <v>10</v>
      </c>
      <c r="H34" s="13">
        <v>10</v>
      </c>
      <c r="I34" s="13">
        <v>10</v>
      </c>
      <c r="J34" s="13">
        <v>10</v>
      </c>
      <c r="K34" s="13">
        <v>10</v>
      </c>
      <c r="L34" s="13">
        <v>10</v>
      </c>
      <c r="M34" s="13">
        <v>10</v>
      </c>
    </row>
    <row r="36" spans="1:26" ht="17" x14ac:dyDescent="0.2">
      <c r="A36" s="52">
        <v>7</v>
      </c>
      <c r="B36" s="39" t="s">
        <v>157</v>
      </c>
      <c r="C36" s="47">
        <v>2022</v>
      </c>
      <c r="D36" s="47">
        <v>2021</v>
      </c>
      <c r="E36" s="47">
        <v>2020</v>
      </c>
      <c r="F36" s="46">
        <v>2019</v>
      </c>
      <c r="G36" s="46">
        <v>2018</v>
      </c>
      <c r="H36" s="40">
        <v>2017</v>
      </c>
      <c r="I36" s="40">
        <v>2016</v>
      </c>
      <c r="J36" s="40">
        <v>2015</v>
      </c>
      <c r="K36" s="47">
        <v>2014</v>
      </c>
      <c r="L36" s="47">
        <v>2013</v>
      </c>
      <c r="M36" s="46">
        <v>2012</v>
      </c>
      <c r="N36" s="46">
        <v>2011</v>
      </c>
      <c r="O36" s="40">
        <v>2010</v>
      </c>
      <c r="P36" s="40">
        <v>2009</v>
      </c>
      <c r="Q36" s="40">
        <v>2008</v>
      </c>
      <c r="R36" s="40">
        <v>2007</v>
      </c>
      <c r="S36" s="40">
        <v>2006</v>
      </c>
      <c r="T36" s="40">
        <v>2005</v>
      </c>
      <c r="U36" s="40">
        <v>2004</v>
      </c>
      <c r="V36" s="40">
        <v>2003</v>
      </c>
      <c r="W36" s="40">
        <v>2002</v>
      </c>
      <c r="X36" s="40">
        <v>2000</v>
      </c>
      <c r="Y36" s="40">
        <v>1998</v>
      </c>
      <c r="Z36" s="40">
        <v>1996</v>
      </c>
    </row>
    <row r="37" spans="1:26" ht="17" x14ac:dyDescent="0.2">
      <c r="A37" s="53"/>
      <c r="B37" s="41" t="s">
        <v>158</v>
      </c>
      <c r="C37" s="40" t="s">
        <v>48</v>
      </c>
      <c r="D37" s="40" t="s">
        <v>48</v>
      </c>
      <c r="E37" s="40" t="s">
        <v>48</v>
      </c>
      <c r="F37" s="40" t="s">
        <v>48</v>
      </c>
      <c r="G37" s="40" t="s">
        <v>48</v>
      </c>
      <c r="H37" s="40" t="s">
        <v>48</v>
      </c>
      <c r="I37" s="40" t="s">
        <v>47</v>
      </c>
      <c r="J37" s="40" t="s">
        <v>47</v>
      </c>
      <c r="K37" s="40" t="s">
        <v>47</v>
      </c>
      <c r="L37" s="40" t="s">
        <v>47</v>
      </c>
      <c r="M37" s="40" t="s">
        <v>47</v>
      </c>
      <c r="N37" s="40" t="s">
        <v>47</v>
      </c>
      <c r="O37" s="40" t="s">
        <v>47</v>
      </c>
      <c r="P37" s="40" t="s">
        <v>47</v>
      </c>
      <c r="Q37" s="40" t="s">
        <v>47</v>
      </c>
      <c r="R37" s="40" t="s">
        <v>47</v>
      </c>
      <c r="S37" s="40" t="s">
        <v>47</v>
      </c>
      <c r="T37" s="40" t="s">
        <v>47</v>
      </c>
      <c r="U37" s="40" t="s">
        <v>47</v>
      </c>
      <c r="V37" s="40" t="s">
        <v>47</v>
      </c>
      <c r="W37" s="40" t="s">
        <v>47</v>
      </c>
      <c r="X37" s="40" t="s">
        <v>48</v>
      </c>
      <c r="Y37" s="40" t="s">
        <v>48</v>
      </c>
      <c r="Z37" s="40" t="s">
        <v>48</v>
      </c>
    </row>
    <row r="38" spans="1:26" ht="17" x14ac:dyDescent="0.2">
      <c r="A38" s="53"/>
      <c r="B38" s="41" t="s">
        <v>159</v>
      </c>
      <c r="C38" s="40" t="s">
        <v>47</v>
      </c>
      <c r="D38" s="40" t="s">
        <v>47</v>
      </c>
      <c r="E38" s="40" t="s">
        <v>47</v>
      </c>
      <c r="F38" s="40" t="s">
        <v>47</v>
      </c>
      <c r="G38" s="40" t="s">
        <v>47</v>
      </c>
      <c r="H38" s="40" t="s">
        <v>47</v>
      </c>
      <c r="I38" s="40" t="s">
        <v>48</v>
      </c>
      <c r="J38" s="40" t="s">
        <v>48</v>
      </c>
      <c r="K38" s="40" t="s">
        <v>48</v>
      </c>
      <c r="L38" s="40" t="s">
        <v>48</v>
      </c>
      <c r="M38" s="40" t="s">
        <v>48</v>
      </c>
      <c r="N38" s="40" t="s">
        <v>48</v>
      </c>
      <c r="O38" s="40" t="s">
        <v>48</v>
      </c>
      <c r="P38" s="40" t="s">
        <v>48</v>
      </c>
      <c r="Q38" s="40" t="s">
        <v>48</v>
      </c>
      <c r="R38" s="40" t="s">
        <v>48</v>
      </c>
      <c r="S38" s="40" t="s">
        <v>48</v>
      </c>
      <c r="T38" s="40" t="s">
        <v>48</v>
      </c>
      <c r="U38" s="40" t="s">
        <v>48</v>
      </c>
      <c r="V38" s="40" t="s">
        <v>48</v>
      </c>
      <c r="W38" s="40" t="s">
        <v>48</v>
      </c>
      <c r="X38" s="40" t="s">
        <v>48</v>
      </c>
      <c r="Y38" s="40" t="s">
        <v>48</v>
      </c>
      <c r="Z38" s="40" t="s">
        <v>48</v>
      </c>
    </row>
    <row r="39" spans="1:26" ht="17" x14ac:dyDescent="0.2">
      <c r="A39" s="53"/>
      <c r="B39" s="41" t="s">
        <v>160</v>
      </c>
      <c r="C39" s="40" t="s">
        <v>48</v>
      </c>
      <c r="D39" s="40" t="s">
        <v>48</v>
      </c>
      <c r="E39" s="40" t="s">
        <v>48</v>
      </c>
      <c r="F39" s="40" t="s">
        <v>48</v>
      </c>
      <c r="G39" s="40" t="s">
        <v>48</v>
      </c>
      <c r="H39" s="40" t="s">
        <v>47</v>
      </c>
      <c r="I39" s="40" t="s">
        <v>48</v>
      </c>
      <c r="J39" s="40" t="s">
        <v>48</v>
      </c>
      <c r="K39" s="40" t="s">
        <v>48</v>
      </c>
      <c r="L39" s="40" t="s">
        <v>48</v>
      </c>
      <c r="M39" s="40" t="s">
        <v>48</v>
      </c>
      <c r="N39" s="40" t="s">
        <v>48</v>
      </c>
      <c r="O39" s="40" t="s">
        <v>48</v>
      </c>
      <c r="P39" s="40" t="s">
        <v>48</v>
      </c>
      <c r="Q39" s="40" t="s">
        <v>48</v>
      </c>
      <c r="R39" s="40" t="s">
        <v>48</v>
      </c>
      <c r="S39" s="40" t="s">
        <v>48</v>
      </c>
      <c r="T39" s="40" t="s">
        <v>48</v>
      </c>
      <c r="U39" s="40" t="s">
        <v>48</v>
      </c>
      <c r="V39" s="40" t="s">
        <v>48</v>
      </c>
      <c r="W39" s="40" t="s">
        <v>48</v>
      </c>
      <c r="X39" s="40" t="s">
        <v>48</v>
      </c>
      <c r="Y39" s="40" t="s">
        <v>48</v>
      </c>
      <c r="Z39" s="40" t="s">
        <v>48</v>
      </c>
    </row>
    <row r="40" spans="1:26" ht="17" x14ac:dyDescent="0.2">
      <c r="A40" s="53"/>
      <c r="B40" s="41" t="s">
        <v>161</v>
      </c>
      <c r="C40" s="40" t="s">
        <v>47</v>
      </c>
      <c r="D40" s="40" t="s">
        <v>47</v>
      </c>
      <c r="E40" s="40" t="s">
        <v>47</v>
      </c>
      <c r="F40" s="40" t="s">
        <v>47</v>
      </c>
      <c r="G40" s="40" t="s">
        <v>47</v>
      </c>
      <c r="H40" s="40" t="s">
        <v>48</v>
      </c>
      <c r="I40" s="40" t="s">
        <v>48</v>
      </c>
      <c r="J40" s="40" t="s">
        <v>48</v>
      </c>
      <c r="K40" s="40" t="s">
        <v>48</v>
      </c>
      <c r="L40" s="40" t="s">
        <v>48</v>
      </c>
      <c r="M40" s="40" t="s">
        <v>48</v>
      </c>
      <c r="N40" s="40" t="s">
        <v>48</v>
      </c>
      <c r="O40" s="40" t="s">
        <v>48</v>
      </c>
      <c r="P40" s="40" t="s">
        <v>48</v>
      </c>
      <c r="Q40" s="40" t="s">
        <v>48</v>
      </c>
      <c r="R40" s="40" t="s">
        <v>48</v>
      </c>
      <c r="S40" s="40" t="s">
        <v>48</v>
      </c>
      <c r="T40" s="40" t="s">
        <v>48</v>
      </c>
      <c r="U40" s="40" t="s">
        <v>48</v>
      </c>
      <c r="V40" s="40" t="s">
        <v>48</v>
      </c>
      <c r="W40" s="40" t="s">
        <v>48</v>
      </c>
      <c r="X40" s="40" t="s">
        <v>48</v>
      </c>
      <c r="Y40" s="40" t="s">
        <v>48</v>
      </c>
      <c r="Z40" s="40" t="s">
        <v>48</v>
      </c>
    </row>
    <row r="41" spans="1:26" ht="17" x14ac:dyDescent="0.2">
      <c r="A41" s="53"/>
      <c r="B41" s="41" t="s">
        <v>162</v>
      </c>
      <c r="C41" s="40" t="s">
        <v>47</v>
      </c>
      <c r="D41" s="40" t="s">
        <v>47</v>
      </c>
      <c r="E41" s="40" t="s">
        <v>47</v>
      </c>
      <c r="F41" s="40" t="s">
        <v>47</v>
      </c>
      <c r="G41" s="40" t="s">
        <v>47</v>
      </c>
      <c r="H41" s="40" t="s">
        <v>47</v>
      </c>
      <c r="I41" s="40" t="s">
        <v>48</v>
      </c>
      <c r="J41" s="40" t="s">
        <v>48</v>
      </c>
      <c r="K41" s="40" t="s">
        <v>48</v>
      </c>
      <c r="L41" s="40" t="s">
        <v>48</v>
      </c>
      <c r="M41" s="40" t="s">
        <v>48</v>
      </c>
      <c r="N41" s="40" t="s">
        <v>48</v>
      </c>
      <c r="O41" s="40" t="s">
        <v>48</v>
      </c>
      <c r="P41" s="40" t="s">
        <v>48</v>
      </c>
      <c r="Q41" s="40" t="s">
        <v>48</v>
      </c>
      <c r="R41" s="40" t="s">
        <v>48</v>
      </c>
      <c r="S41" s="40" t="s">
        <v>48</v>
      </c>
      <c r="T41" s="40" t="s">
        <v>48</v>
      </c>
      <c r="U41" s="40" t="s">
        <v>48</v>
      </c>
      <c r="V41" s="40" t="s">
        <v>48</v>
      </c>
      <c r="W41" s="40" t="s">
        <v>48</v>
      </c>
      <c r="X41" s="40" t="s">
        <v>48</v>
      </c>
      <c r="Y41" s="40" t="s">
        <v>48</v>
      </c>
      <c r="Z41" s="40" t="s">
        <v>48</v>
      </c>
    </row>
    <row r="42" spans="1:26" ht="17" x14ac:dyDescent="0.2">
      <c r="A42" s="53"/>
      <c r="B42" s="41" t="s">
        <v>163</v>
      </c>
      <c r="C42" s="40" t="s">
        <v>47</v>
      </c>
      <c r="D42" s="40" t="s">
        <v>47</v>
      </c>
      <c r="E42" s="40" t="s">
        <v>47</v>
      </c>
      <c r="F42" s="40" t="s">
        <v>47</v>
      </c>
      <c r="G42" s="40" t="s">
        <v>47</v>
      </c>
      <c r="H42" s="40" t="s">
        <v>48</v>
      </c>
      <c r="I42" s="40" t="s">
        <v>48</v>
      </c>
      <c r="J42" s="40" t="s">
        <v>48</v>
      </c>
      <c r="K42" s="40" t="s">
        <v>48</v>
      </c>
      <c r="L42" s="40" t="s">
        <v>48</v>
      </c>
      <c r="M42" s="40" t="s">
        <v>48</v>
      </c>
      <c r="N42" s="40" t="s">
        <v>48</v>
      </c>
      <c r="O42" s="40" t="s">
        <v>48</v>
      </c>
      <c r="P42" s="40" t="s">
        <v>48</v>
      </c>
      <c r="Q42" s="40" t="s">
        <v>48</v>
      </c>
      <c r="R42" s="40" t="s">
        <v>48</v>
      </c>
      <c r="S42" s="40" t="s">
        <v>48</v>
      </c>
      <c r="T42" s="40" t="s">
        <v>48</v>
      </c>
      <c r="U42" s="40" t="s">
        <v>48</v>
      </c>
      <c r="V42" s="40" t="s">
        <v>48</v>
      </c>
      <c r="W42" s="40" t="s">
        <v>48</v>
      </c>
      <c r="X42" s="40" t="s">
        <v>48</v>
      </c>
      <c r="Y42" s="40" t="s">
        <v>48</v>
      </c>
      <c r="Z42" s="40" t="s">
        <v>48</v>
      </c>
    </row>
    <row r="43" spans="1:26" ht="17" x14ac:dyDescent="0.2">
      <c r="A43" s="53"/>
      <c r="B43" s="41" t="s">
        <v>164</v>
      </c>
      <c r="C43" s="40" t="s">
        <v>47</v>
      </c>
      <c r="D43" s="40" t="s">
        <v>47</v>
      </c>
      <c r="E43" s="40" t="s">
        <v>47</v>
      </c>
      <c r="F43" s="40" t="s">
        <v>47</v>
      </c>
      <c r="G43" s="40" t="s">
        <v>47</v>
      </c>
      <c r="H43" s="40" t="s">
        <v>48</v>
      </c>
      <c r="I43" s="40" t="s">
        <v>48</v>
      </c>
      <c r="J43" s="40" t="s">
        <v>48</v>
      </c>
      <c r="K43" s="40" t="s">
        <v>48</v>
      </c>
      <c r="L43" s="40" t="s">
        <v>48</v>
      </c>
      <c r="M43" s="40" t="s">
        <v>48</v>
      </c>
      <c r="N43" s="40" t="s">
        <v>48</v>
      </c>
      <c r="O43" s="40" t="s">
        <v>48</v>
      </c>
      <c r="P43" s="40" t="s">
        <v>48</v>
      </c>
      <c r="Q43" s="40" t="s">
        <v>48</v>
      </c>
      <c r="R43" s="40" t="s">
        <v>48</v>
      </c>
      <c r="S43" s="40" t="s">
        <v>48</v>
      </c>
      <c r="T43" s="40" t="s">
        <v>48</v>
      </c>
      <c r="U43" s="40" t="s">
        <v>48</v>
      </c>
      <c r="V43" s="40" t="s">
        <v>48</v>
      </c>
      <c r="W43" s="40" t="s">
        <v>48</v>
      </c>
      <c r="X43" s="40" t="s">
        <v>48</v>
      </c>
      <c r="Y43" s="40" t="s">
        <v>48</v>
      </c>
      <c r="Z43" s="40" t="s">
        <v>48</v>
      </c>
    </row>
    <row r="44" spans="1:26" ht="17" x14ac:dyDescent="0.2">
      <c r="A44" s="53"/>
      <c r="B44" s="41" t="s">
        <v>165</v>
      </c>
      <c r="C44" s="40" t="s">
        <v>47</v>
      </c>
      <c r="D44" s="40" t="s">
        <v>47</v>
      </c>
      <c r="E44" s="40" t="s">
        <v>47</v>
      </c>
      <c r="F44" s="40" t="s">
        <v>47</v>
      </c>
      <c r="G44" s="40" t="s">
        <v>47</v>
      </c>
      <c r="H44" s="40" t="s">
        <v>48</v>
      </c>
      <c r="I44" s="40" t="s">
        <v>48</v>
      </c>
      <c r="J44" s="40" t="s">
        <v>48</v>
      </c>
      <c r="K44" s="40" t="s">
        <v>48</v>
      </c>
      <c r="L44" s="40" t="s">
        <v>48</v>
      </c>
      <c r="M44" s="40" t="s">
        <v>48</v>
      </c>
      <c r="N44" s="40" t="s">
        <v>48</v>
      </c>
      <c r="O44" s="40" t="s">
        <v>48</v>
      </c>
      <c r="P44" s="40" t="s">
        <v>48</v>
      </c>
      <c r="Q44" s="40" t="s">
        <v>48</v>
      </c>
      <c r="R44" s="40" t="s">
        <v>48</v>
      </c>
      <c r="S44" s="40" t="s">
        <v>48</v>
      </c>
      <c r="T44" s="40" t="s">
        <v>48</v>
      </c>
      <c r="U44" s="40" t="s">
        <v>48</v>
      </c>
      <c r="V44" s="40" t="s">
        <v>48</v>
      </c>
      <c r="W44" s="40" t="s">
        <v>48</v>
      </c>
      <c r="X44" s="40" t="s">
        <v>48</v>
      </c>
      <c r="Y44" s="40" t="s">
        <v>48</v>
      </c>
      <c r="Z44" s="40" t="s">
        <v>48</v>
      </c>
    </row>
    <row r="45" spans="1:26" ht="17" x14ac:dyDescent="0.2">
      <c r="A45" s="53"/>
      <c r="B45" s="41" t="s">
        <v>166</v>
      </c>
      <c r="C45" s="40" t="s">
        <v>47</v>
      </c>
      <c r="D45" s="40" t="s">
        <v>47</v>
      </c>
      <c r="E45" s="40" t="s">
        <v>47</v>
      </c>
      <c r="F45" s="40" t="s">
        <v>47</v>
      </c>
      <c r="G45" s="40" t="s">
        <v>47</v>
      </c>
      <c r="H45" s="40" t="s">
        <v>48</v>
      </c>
      <c r="I45" s="40" t="s">
        <v>48</v>
      </c>
      <c r="J45" s="40" t="s">
        <v>48</v>
      </c>
      <c r="K45" s="40" t="s">
        <v>48</v>
      </c>
      <c r="L45" s="40" t="s">
        <v>48</v>
      </c>
      <c r="M45" s="40" t="s">
        <v>48</v>
      </c>
      <c r="N45" s="40" t="s">
        <v>48</v>
      </c>
      <c r="O45" s="40" t="s">
        <v>48</v>
      </c>
      <c r="P45" s="40" t="s">
        <v>48</v>
      </c>
      <c r="Q45" s="40" t="s">
        <v>48</v>
      </c>
      <c r="R45" s="40" t="s">
        <v>48</v>
      </c>
      <c r="S45" s="40" t="s">
        <v>48</v>
      </c>
      <c r="T45" s="40" t="s">
        <v>48</v>
      </c>
      <c r="U45" s="40" t="s">
        <v>48</v>
      </c>
      <c r="V45" s="40" t="s">
        <v>48</v>
      </c>
      <c r="W45" s="40" t="s">
        <v>48</v>
      </c>
      <c r="X45" s="40" t="s">
        <v>48</v>
      </c>
      <c r="Y45" s="40" t="s">
        <v>48</v>
      </c>
      <c r="Z45" s="40" t="s">
        <v>48</v>
      </c>
    </row>
    <row r="46" spans="1:26" x14ac:dyDescent="0.2">
      <c r="A46" s="53"/>
      <c r="C46" s="13">
        <v>10</v>
      </c>
      <c r="D46" s="13">
        <v>10</v>
      </c>
      <c r="E46" s="13">
        <v>10</v>
      </c>
      <c r="F46" s="13">
        <v>10</v>
      </c>
      <c r="G46" s="13">
        <v>10</v>
      </c>
      <c r="H46" s="13">
        <v>10</v>
      </c>
      <c r="I46" s="13">
        <v>10</v>
      </c>
      <c r="J46" s="13">
        <v>10</v>
      </c>
      <c r="K46" s="13">
        <v>10</v>
      </c>
      <c r="L46" s="13">
        <v>10</v>
      </c>
      <c r="M46" s="13">
        <v>10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A130D-E48F-5F49-BEAB-D96F0CC57928}">
  <dimension ref="A1:G29"/>
  <sheetViews>
    <sheetView workbookViewId="0">
      <selection activeCell="G33" sqref="G33"/>
    </sheetView>
  </sheetViews>
  <sheetFormatPr baseColWidth="10" defaultRowHeight="16" x14ac:dyDescent="0.2"/>
  <sheetData>
    <row r="1" spans="1:7" x14ac:dyDescent="0.2">
      <c r="B1" s="18" t="s">
        <v>81</v>
      </c>
      <c r="C1" s="18" t="s">
        <v>82</v>
      </c>
      <c r="D1" s="18" t="s">
        <v>83</v>
      </c>
      <c r="E1" s="18" t="s">
        <v>84</v>
      </c>
      <c r="F1" s="18" t="s">
        <v>85</v>
      </c>
      <c r="G1" s="18" t="s">
        <v>86</v>
      </c>
    </row>
    <row r="2" spans="1:7" x14ac:dyDescent="0.2">
      <c r="A2" t="s">
        <v>71</v>
      </c>
      <c r="B2" s="19">
        <v>0.5</v>
      </c>
      <c r="C2" s="19">
        <v>0.5</v>
      </c>
      <c r="D2" s="19">
        <v>0.7</v>
      </c>
      <c r="E2" s="19">
        <v>0.6</v>
      </c>
      <c r="F2" s="19">
        <v>0.4</v>
      </c>
      <c r="G2" s="19">
        <v>0.5</v>
      </c>
    </row>
    <row r="3" spans="1:7" x14ac:dyDescent="0.2">
      <c r="B3" s="20"/>
      <c r="C3" s="20"/>
      <c r="D3" s="20"/>
      <c r="E3" s="20"/>
      <c r="F3" s="20"/>
      <c r="G3" s="20"/>
    </row>
    <row r="4" spans="1:7" x14ac:dyDescent="0.2">
      <c r="B4" s="18" t="s">
        <v>81</v>
      </c>
      <c r="C4" s="18" t="s">
        <v>82</v>
      </c>
      <c r="D4" s="18" t="s">
        <v>83</v>
      </c>
      <c r="E4" s="18" t="s">
        <v>84</v>
      </c>
      <c r="F4" s="18" t="s">
        <v>85</v>
      </c>
      <c r="G4" s="18" t="s">
        <v>86</v>
      </c>
    </row>
    <row r="5" spans="1:7" x14ac:dyDescent="0.2">
      <c r="A5" t="s">
        <v>72</v>
      </c>
      <c r="B5" s="19">
        <v>0.4</v>
      </c>
      <c r="C5" s="19">
        <v>0.4</v>
      </c>
      <c r="D5" s="19">
        <v>0.4</v>
      </c>
      <c r="E5" s="19">
        <v>0.4</v>
      </c>
      <c r="F5" s="19">
        <v>0.4</v>
      </c>
      <c r="G5" s="19">
        <v>0.4</v>
      </c>
    </row>
    <row r="6" spans="1:7" x14ac:dyDescent="0.2">
      <c r="B6" s="20"/>
      <c r="C6" s="20"/>
      <c r="D6" s="20"/>
      <c r="E6" s="20"/>
      <c r="F6" s="20"/>
      <c r="G6" s="20"/>
    </row>
    <row r="7" spans="1:7" x14ac:dyDescent="0.2">
      <c r="B7" s="18" t="s">
        <v>81</v>
      </c>
      <c r="C7" s="18" t="s">
        <v>82</v>
      </c>
      <c r="D7" s="18" t="s">
        <v>83</v>
      </c>
      <c r="E7" s="18" t="s">
        <v>84</v>
      </c>
      <c r="F7" s="18" t="s">
        <v>85</v>
      </c>
      <c r="G7" s="18" t="s">
        <v>86</v>
      </c>
    </row>
    <row r="8" spans="1:7" x14ac:dyDescent="0.2">
      <c r="A8" t="s">
        <v>73</v>
      </c>
      <c r="B8" s="19">
        <v>0.5</v>
      </c>
      <c r="C8" s="19">
        <v>0.6</v>
      </c>
      <c r="D8" s="19">
        <v>0.7</v>
      </c>
      <c r="E8" s="19">
        <v>0.6</v>
      </c>
      <c r="F8" s="19">
        <v>0.7</v>
      </c>
      <c r="G8" s="19">
        <v>0.7</v>
      </c>
    </row>
    <row r="9" spans="1:7" x14ac:dyDescent="0.2">
      <c r="B9" s="20"/>
      <c r="C9" s="20"/>
      <c r="D9" s="20"/>
      <c r="E9" s="20"/>
      <c r="F9" s="20"/>
      <c r="G9" s="20"/>
    </row>
    <row r="10" spans="1:7" x14ac:dyDescent="0.2">
      <c r="B10" s="18" t="s">
        <v>81</v>
      </c>
      <c r="C10" s="18" t="s">
        <v>82</v>
      </c>
      <c r="D10" s="18" t="s">
        <v>83</v>
      </c>
      <c r="E10" s="18" t="s">
        <v>84</v>
      </c>
      <c r="F10" s="18" t="s">
        <v>85</v>
      </c>
      <c r="G10" s="18" t="s">
        <v>86</v>
      </c>
    </row>
    <row r="11" spans="1:7" x14ac:dyDescent="0.2">
      <c r="A11" t="s">
        <v>74</v>
      </c>
      <c r="B11" s="19">
        <v>0.9</v>
      </c>
      <c r="C11" s="19">
        <v>0.9</v>
      </c>
      <c r="D11" s="19">
        <v>0.9</v>
      </c>
      <c r="E11" s="19">
        <v>0.9</v>
      </c>
      <c r="F11" s="19">
        <v>0.9</v>
      </c>
      <c r="G11" s="19">
        <v>0.9</v>
      </c>
    </row>
    <row r="13" spans="1:7" x14ac:dyDescent="0.2">
      <c r="B13" s="18" t="s">
        <v>81</v>
      </c>
      <c r="C13" s="18" t="s">
        <v>82</v>
      </c>
      <c r="D13" s="18" t="s">
        <v>83</v>
      </c>
      <c r="E13" s="18" t="s">
        <v>84</v>
      </c>
      <c r="F13" s="18" t="s">
        <v>85</v>
      </c>
      <c r="G13" s="18" t="s">
        <v>86</v>
      </c>
    </row>
    <row r="14" spans="1:7" x14ac:dyDescent="0.2">
      <c r="A14" t="s">
        <v>75</v>
      </c>
      <c r="B14" s="19">
        <v>0.5</v>
      </c>
      <c r="C14" s="19">
        <v>0.5</v>
      </c>
      <c r="D14" s="19">
        <v>0.5</v>
      </c>
      <c r="E14" s="19">
        <v>0.4</v>
      </c>
      <c r="F14" s="19">
        <v>0.5</v>
      </c>
      <c r="G14" s="19">
        <v>0.5</v>
      </c>
    </row>
    <row r="16" spans="1:7" x14ac:dyDescent="0.2">
      <c r="B16" s="18" t="s">
        <v>81</v>
      </c>
      <c r="C16" s="18" t="s">
        <v>82</v>
      </c>
      <c r="D16" s="18" t="s">
        <v>83</v>
      </c>
      <c r="E16" s="18" t="s">
        <v>84</v>
      </c>
      <c r="F16" s="18" t="s">
        <v>85</v>
      </c>
      <c r="G16" s="18" t="s">
        <v>86</v>
      </c>
    </row>
    <row r="17" spans="1:7" x14ac:dyDescent="0.2">
      <c r="A17" t="s">
        <v>76</v>
      </c>
      <c r="B17" s="19">
        <v>0.5</v>
      </c>
      <c r="C17" s="19">
        <v>0.5</v>
      </c>
      <c r="D17" s="19">
        <v>0.6</v>
      </c>
      <c r="E17" s="19">
        <v>0.4</v>
      </c>
      <c r="F17" s="19">
        <v>0.4</v>
      </c>
      <c r="G17" s="19">
        <v>0.4</v>
      </c>
    </row>
    <row r="19" spans="1:7" x14ac:dyDescent="0.2">
      <c r="B19" s="18" t="s">
        <v>81</v>
      </c>
      <c r="C19" s="18" t="s">
        <v>82</v>
      </c>
      <c r="D19" s="18" t="s">
        <v>83</v>
      </c>
      <c r="E19" s="18" t="s">
        <v>84</v>
      </c>
      <c r="F19" s="18" t="s">
        <v>85</v>
      </c>
      <c r="G19" s="18" t="s">
        <v>86</v>
      </c>
    </row>
    <row r="20" spans="1:7" x14ac:dyDescent="0.2">
      <c r="A20" t="s">
        <v>77</v>
      </c>
      <c r="B20" s="19">
        <v>0.4</v>
      </c>
      <c r="C20" s="19">
        <v>0.4</v>
      </c>
      <c r="D20" s="19">
        <v>0.4</v>
      </c>
      <c r="E20" s="19">
        <v>0.5</v>
      </c>
      <c r="F20" s="19">
        <v>0.5</v>
      </c>
      <c r="G20" s="19">
        <v>0.5</v>
      </c>
    </row>
    <row r="22" spans="1:7" x14ac:dyDescent="0.2">
      <c r="B22" s="18" t="s">
        <v>81</v>
      </c>
      <c r="C22" s="18" t="s">
        <v>82</v>
      </c>
      <c r="D22" s="18" t="s">
        <v>83</v>
      </c>
      <c r="E22" s="18" t="s">
        <v>84</v>
      </c>
      <c r="F22" s="18" t="s">
        <v>85</v>
      </c>
      <c r="G22" s="18" t="s">
        <v>86</v>
      </c>
    </row>
    <row r="23" spans="1:7" x14ac:dyDescent="0.2">
      <c r="A23" t="s">
        <v>78</v>
      </c>
      <c r="B23" s="19">
        <v>0.5</v>
      </c>
      <c r="C23" s="19">
        <v>0.6</v>
      </c>
      <c r="D23" s="19">
        <v>0.6</v>
      </c>
      <c r="E23" s="19">
        <v>0.5</v>
      </c>
      <c r="F23" s="19">
        <v>0.5</v>
      </c>
      <c r="G23" s="19">
        <v>0.6</v>
      </c>
    </row>
    <row r="25" spans="1:7" x14ac:dyDescent="0.2">
      <c r="B25" s="18" t="s">
        <v>81</v>
      </c>
      <c r="C25" s="18" t="s">
        <v>82</v>
      </c>
      <c r="D25" s="18" t="s">
        <v>83</v>
      </c>
      <c r="E25" s="18" t="s">
        <v>84</v>
      </c>
      <c r="F25" s="18" t="s">
        <v>85</v>
      </c>
      <c r="G25" s="18" t="s">
        <v>86</v>
      </c>
    </row>
    <row r="26" spans="1:7" x14ac:dyDescent="0.2">
      <c r="A26" t="s">
        <v>79</v>
      </c>
      <c r="B26" s="19">
        <v>0.9</v>
      </c>
      <c r="C26" s="19">
        <v>0.9</v>
      </c>
      <c r="D26" s="19">
        <v>0.9</v>
      </c>
      <c r="E26" s="19">
        <v>0.9</v>
      </c>
      <c r="F26" s="19">
        <v>0.9</v>
      </c>
      <c r="G26" s="19">
        <v>0.9</v>
      </c>
    </row>
    <row r="28" spans="1:7" x14ac:dyDescent="0.2">
      <c r="B28" s="18" t="s">
        <v>81</v>
      </c>
      <c r="C28" s="18" t="s">
        <v>82</v>
      </c>
      <c r="D28" s="18" t="s">
        <v>83</v>
      </c>
      <c r="E28" s="18" t="s">
        <v>84</v>
      </c>
      <c r="F28" s="18" t="s">
        <v>85</v>
      </c>
      <c r="G28" s="18" t="s">
        <v>86</v>
      </c>
    </row>
    <row r="29" spans="1:7" x14ac:dyDescent="0.2">
      <c r="A29" t="s">
        <v>80</v>
      </c>
      <c r="B29" s="19">
        <v>0.1</v>
      </c>
      <c r="C29" s="19">
        <v>0.1</v>
      </c>
      <c r="D29" s="19">
        <v>0.1</v>
      </c>
      <c r="E29" s="19">
        <v>0.2</v>
      </c>
      <c r="F29" s="19">
        <v>0.2</v>
      </c>
      <c r="G29" s="19">
        <v>0.2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D1AF9-C9D1-6445-81F8-15E02B79D22A}">
  <dimension ref="B2:B24"/>
  <sheetViews>
    <sheetView zoomScale="131" workbookViewId="0">
      <selection activeCell="G25" sqref="G25"/>
    </sheetView>
  </sheetViews>
  <sheetFormatPr baseColWidth="10" defaultRowHeight="16" x14ac:dyDescent="0.2"/>
  <cols>
    <col min="1" max="1" width="10.83203125" style="42"/>
    <col min="2" max="2" width="56.6640625" style="42" customWidth="1"/>
    <col min="3" max="16384" width="10.83203125" style="42"/>
  </cols>
  <sheetData>
    <row r="2" spans="2:2" ht="17" x14ac:dyDescent="0.2">
      <c r="B2" s="41" t="s">
        <v>45</v>
      </c>
    </row>
    <row r="3" spans="2:2" ht="17" x14ac:dyDescent="0.2">
      <c r="B3" s="41" t="s">
        <v>46</v>
      </c>
    </row>
    <row r="4" spans="2:2" ht="17" x14ac:dyDescent="0.2">
      <c r="B4" s="41" t="s">
        <v>52</v>
      </c>
    </row>
    <row r="5" spans="2:2" ht="17" x14ac:dyDescent="0.2">
      <c r="B5" s="41" t="s">
        <v>56</v>
      </c>
    </row>
    <row r="6" spans="2:2" ht="17" x14ac:dyDescent="0.2">
      <c r="B6" s="41" t="s">
        <v>57</v>
      </c>
    </row>
    <row r="7" spans="2:2" ht="17" x14ac:dyDescent="0.2">
      <c r="B7" s="41" t="s">
        <v>58</v>
      </c>
    </row>
    <row r="8" spans="2:2" ht="17" x14ac:dyDescent="0.2">
      <c r="B8" s="41" t="s">
        <v>59</v>
      </c>
    </row>
    <row r="9" spans="2:2" ht="17" x14ac:dyDescent="0.2">
      <c r="B9" s="41" t="s">
        <v>60</v>
      </c>
    </row>
    <row r="10" spans="2:2" ht="17" x14ac:dyDescent="0.2">
      <c r="B10" s="41" t="s">
        <v>61</v>
      </c>
    </row>
    <row r="11" spans="2:2" ht="17" x14ac:dyDescent="0.2">
      <c r="B11" s="41" t="s">
        <v>62</v>
      </c>
    </row>
    <row r="12" spans="2:2" ht="17" x14ac:dyDescent="0.2">
      <c r="B12" s="41" t="s">
        <v>63</v>
      </c>
    </row>
    <row r="13" spans="2:2" ht="17" x14ac:dyDescent="0.2">
      <c r="B13" s="41" t="s">
        <v>68</v>
      </c>
    </row>
    <row r="14" spans="2:2" ht="17" x14ac:dyDescent="0.2">
      <c r="B14" s="41" t="s">
        <v>70</v>
      </c>
    </row>
    <row r="15" spans="2:2" ht="17" x14ac:dyDescent="0.2">
      <c r="B15" s="41" t="s">
        <v>154</v>
      </c>
    </row>
    <row r="16" spans="2:2" ht="17" x14ac:dyDescent="0.2">
      <c r="B16" s="41" t="s">
        <v>158</v>
      </c>
    </row>
    <row r="17" spans="2:2" ht="17" x14ac:dyDescent="0.2">
      <c r="B17" s="41" t="s">
        <v>159</v>
      </c>
    </row>
    <row r="18" spans="2:2" ht="17" x14ac:dyDescent="0.2">
      <c r="B18" s="41" t="s">
        <v>160</v>
      </c>
    </row>
    <row r="19" spans="2:2" ht="17" x14ac:dyDescent="0.2">
      <c r="B19" s="41" t="s">
        <v>161</v>
      </c>
    </row>
    <row r="20" spans="2:2" ht="17" x14ac:dyDescent="0.2">
      <c r="B20" s="41" t="s">
        <v>162</v>
      </c>
    </row>
    <row r="21" spans="2:2" ht="17" x14ac:dyDescent="0.2">
      <c r="B21" s="41" t="s">
        <v>163</v>
      </c>
    </row>
    <row r="22" spans="2:2" ht="17" x14ac:dyDescent="0.2">
      <c r="B22" s="41" t="s">
        <v>164</v>
      </c>
    </row>
    <row r="23" spans="2:2" ht="17" x14ac:dyDescent="0.2">
      <c r="B23" s="41" t="s">
        <v>165</v>
      </c>
    </row>
    <row r="24" spans="2:2" ht="17" x14ac:dyDescent="0.2">
      <c r="B24" s="41" t="s">
        <v>166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D74E3-F225-C044-9249-081B78F3D208}">
  <dimension ref="A1:J8"/>
  <sheetViews>
    <sheetView zoomScale="150" workbookViewId="0">
      <selection activeCell="G14" sqref="G14"/>
    </sheetView>
  </sheetViews>
  <sheetFormatPr baseColWidth="10" defaultRowHeight="16" x14ac:dyDescent="0.2"/>
  <sheetData>
    <row r="1" spans="1:10" x14ac:dyDescent="0.2">
      <c r="B1" t="s">
        <v>181</v>
      </c>
      <c r="D1" t="s">
        <v>191</v>
      </c>
      <c r="F1" t="s">
        <v>199</v>
      </c>
      <c r="H1" t="s">
        <v>74</v>
      </c>
      <c r="J1" t="s">
        <v>206</v>
      </c>
    </row>
    <row r="2" spans="1:10" x14ac:dyDescent="0.2">
      <c r="B2" t="s">
        <v>182</v>
      </c>
      <c r="D2" t="s">
        <v>192</v>
      </c>
      <c r="F2" t="s">
        <v>192</v>
      </c>
      <c r="H2" t="s">
        <v>192</v>
      </c>
      <c r="J2" t="s">
        <v>207</v>
      </c>
    </row>
    <row r="3" spans="1:10" x14ac:dyDescent="0.2">
      <c r="A3" t="s">
        <v>183</v>
      </c>
      <c r="B3" t="s">
        <v>188</v>
      </c>
      <c r="C3" t="s">
        <v>193</v>
      </c>
      <c r="E3" t="s">
        <v>204</v>
      </c>
      <c r="G3" t="s">
        <v>205</v>
      </c>
      <c r="I3" t="s">
        <v>208</v>
      </c>
    </row>
    <row r="4" spans="1:10" x14ac:dyDescent="0.2">
      <c r="A4" t="s">
        <v>184</v>
      </c>
      <c r="B4" t="s">
        <v>188</v>
      </c>
      <c r="C4" t="s">
        <v>194</v>
      </c>
      <c r="E4" t="s">
        <v>203</v>
      </c>
      <c r="G4" t="s">
        <v>184</v>
      </c>
      <c r="I4" t="s">
        <v>209</v>
      </c>
    </row>
    <row r="5" spans="1:10" x14ac:dyDescent="0.2">
      <c r="A5" t="s">
        <v>185</v>
      </c>
      <c r="B5" t="s">
        <v>189</v>
      </c>
      <c r="C5" t="s">
        <v>195</v>
      </c>
      <c r="E5" t="s">
        <v>202</v>
      </c>
      <c r="G5" t="s">
        <v>185</v>
      </c>
      <c r="I5" t="s">
        <v>210</v>
      </c>
    </row>
    <row r="6" spans="1:10" x14ac:dyDescent="0.2">
      <c r="A6" t="s">
        <v>187</v>
      </c>
      <c r="B6" t="s">
        <v>189</v>
      </c>
      <c r="C6" t="s">
        <v>196</v>
      </c>
      <c r="E6" t="s">
        <v>201</v>
      </c>
      <c r="G6" t="s">
        <v>187</v>
      </c>
      <c r="I6" t="s">
        <v>211</v>
      </c>
    </row>
    <row r="7" spans="1:10" x14ac:dyDescent="0.2">
      <c r="A7" t="s">
        <v>186</v>
      </c>
      <c r="B7" t="s">
        <v>190</v>
      </c>
      <c r="C7" t="s">
        <v>197</v>
      </c>
      <c r="E7" t="s">
        <v>200</v>
      </c>
      <c r="G7" t="s">
        <v>186</v>
      </c>
      <c r="I7" t="s">
        <v>212</v>
      </c>
    </row>
    <row r="8" spans="1:10" x14ac:dyDescent="0.2">
      <c r="C8" t="s">
        <v>198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2EC87-3EFE-6B4E-B2A8-192FDB37FE6D}">
  <dimension ref="A1:W58"/>
  <sheetViews>
    <sheetView tabSelected="1" zoomScale="75" workbookViewId="0">
      <selection activeCell="B3" sqref="B3:W8"/>
    </sheetView>
  </sheetViews>
  <sheetFormatPr baseColWidth="10" defaultRowHeight="16" x14ac:dyDescent="0.2"/>
  <sheetData>
    <row r="1" spans="1:23" x14ac:dyDescent="0.2">
      <c r="A1" s="56"/>
      <c r="B1" s="70" t="s">
        <v>215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</row>
    <row r="2" spans="1:23" x14ac:dyDescent="0.2">
      <c r="A2" s="69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</row>
    <row r="3" spans="1:23" x14ac:dyDescent="0.2">
      <c r="A3" s="33" t="s">
        <v>146</v>
      </c>
      <c r="B3" s="34" t="s">
        <v>147</v>
      </c>
      <c r="C3" s="58">
        <v>2002</v>
      </c>
      <c r="D3" s="58">
        <v>2003</v>
      </c>
      <c r="E3" s="58">
        <v>2004</v>
      </c>
      <c r="F3" s="58">
        <v>2005</v>
      </c>
      <c r="G3" s="58">
        <v>2006</v>
      </c>
      <c r="H3" s="60">
        <v>2007</v>
      </c>
      <c r="I3" s="60">
        <v>2008</v>
      </c>
      <c r="J3" s="60">
        <v>2009</v>
      </c>
      <c r="K3" s="60">
        <v>2010</v>
      </c>
      <c r="L3" s="62">
        <v>2011</v>
      </c>
      <c r="M3" s="62">
        <v>2012</v>
      </c>
      <c r="N3" s="62">
        <v>2013</v>
      </c>
      <c r="O3" s="62">
        <v>2014</v>
      </c>
      <c r="P3" s="64">
        <v>2015</v>
      </c>
      <c r="Q3" s="64">
        <v>2016</v>
      </c>
      <c r="R3" s="64">
        <v>2017</v>
      </c>
      <c r="S3" s="64">
        <v>2018</v>
      </c>
      <c r="T3" s="66">
        <v>2019</v>
      </c>
      <c r="U3" s="66">
        <v>2020</v>
      </c>
      <c r="V3" s="66">
        <v>2021</v>
      </c>
      <c r="W3" s="66">
        <v>2022</v>
      </c>
    </row>
    <row r="4" spans="1:23" x14ac:dyDescent="0.2">
      <c r="A4" t="s">
        <v>100</v>
      </c>
      <c r="B4" t="s">
        <v>101</v>
      </c>
      <c r="C4" s="59">
        <v>41.798942565917969</v>
      </c>
      <c r="D4" s="59">
        <v>40.211639404296875</v>
      </c>
      <c r="E4" s="59">
        <v>39.901477813720703</v>
      </c>
      <c r="F4" s="59">
        <v>43.414634704589844</v>
      </c>
      <c r="G4" s="59">
        <v>43.414634704589844</v>
      </c>
      <c r="H4" s="61">
        <v>44.174758911132812</v>
      </c>
      <c r="I4" s="61">
        <v>39.805824279785156</v>
      </c>
      <c r="J4" s="61">
        <v>40.191387176513672</v>
      </c>
      <c r="K4" s="61">
        <v>44.761905670166016</v>
      </c>
      <c r="L4" s="63">
        <v>43.601894378662109</v>
      </c>
      <c r="M4" s="63">
        <v>40.284358978271484</v>
      </c>
      <c r="N4" s="63">
        <v>40.758293151855469</v>
      </c>
      <c r="O4" s="63">
        <v>35.576923370361328</v>
      </c>
      <c r="P4" s="65">
        <v>33.809524536132812</v>
      </c>
      <c r="Q4" s="65">
        <v>45.714286804199219</v>
      </c>
      <c r="R4" s="65">
        <v>44.285713195800781</v>
      </c>
      <c r="S4" s="65">
        <v>53.809524536132812</v>
      </c>
      <c r="T4" s="67">
        <v>52.857143402099609</v>
      </c>
      <c r="U4" s="67">
        <v>47.619049072265625</v>
      </c>
      <c r="V4" s="67">
        <v>38.095237731933594</v>
      </c>
      <c r="W4" s="67">
        <v>36.320755004882812</v>
      </c>
    </row>
    <row r="5" spans="1:23" x14ac:dyDescent="0.2">
      <c r="A5" t="s">
        <v>104</v>
      </c>
      <c r="B5" t="s">
        <v>105</v>
      </c>
      <c r="C5" s="59">
        <v>58.730159759521484</v>
      </c>
      <c r="D5" s="59">
        <v>59.788360595703125</v>
      </c>
      <c r="E5" s="59">
        <v>54.679801940917969</v>
      </c>
      <c r="F5" s="59">
        <v>51.707317352294922</v>
      </c>
      <c r="G5" s="59">
        <v>53.170730590820312</v>
      </c>
      <c r="H5" s="61">
        <v>54.8543701171875</v>
      </c>
      <c r="I5" s="61">
        <v>57.766990661621094</v>
      </c>
      <c r="J5" s="61">
        <v>56.459331512451172</v>
      </c>
      <c r="K5" s="61">
        <v>60.476188659667969</v>
      </c>
      <c r="L5" s="63">
        <v>63.033176422119141</v>
      </c>
      <c r="M5" s="63">
        <v>56.398105621337891</v>
      </c>
      <c r="N5" s="63">
        <v>54.976303100585938</v>
      </c>
      <c r="O5" s="63">
        <v>44.230770111083984</v>
      </c>
      <c r="P5" s="65">
        <v>40.952381134033203</v>
      </c>
      <c r="Q5" s="65">
        <v>39.523811340332031</v>
      </c>
      <c r="R5" s="65">
        <v>35.714286804199219</v>
      </c>
      <c r="S5" s="65">
        <v>38.095237731933594</v>
      </c>
      <c r="T5" s="67">
        <v>40</v>
      </c>
      <c r="U5" s="67">
        <v>37.619049072265625</v>
      </c>
      <c r="V5" s="67">
        <v>34.285713195800781</v>
      </c>
      <c r="W5" s="67">
        <v>32.075469970703125</v>
      </c>
    </row>
    <row r="6" spans="1:23" x14ac:dyDescent="0.2">
      <c r="A6" t="s">
        <v>106</v>
      </c>
      <c r="B6" t="s">
        <v>107</v>
      </c>
      <c r="C6" s="59">
        <v>90.476188659667969</v>
      </c>
      <c r="D6" s="59">
        <v>83.597885131835938</v>
      </c>
      <c r="E6" s="59">
        <v>87.684730529785156</v>
      </c>
      <c r="F6" s="59">
        <v>91.219512939453125</v>
      </c>
      <c r="G6" s="59">
        <v>91.219512939453125</v>
      </c>
      <c r="H6" s="61">
        <v>89.805824279785156</v>
      </c>
      <c r="I6" s="61">
        <v>88.349517822265625</v>
      </c>
      <c r="J6" s="61">
        <v>88.038276672363281</v>
      </c>
      <c r="K6" s="61">
        <v>89.523811340332031</v>
      </c>
      <c r="L6" s="63">
        <v>90.047393798828125</v>
      </c>
      <c r="M6" s="63">
        <v>90.995262145996094</v>
      </c>
      <c r="N6" s="63">
        <v>90.047393798828125</v>
      </c>
      <c r="O6" s="63">
        <v>90.384613037109375</v>
      </c>
      <c r="P6" s="65">
        <v>87.142860412597656</v>
      </c>
      <c r="Q6" s="65">
        <v>80.476188659667969</v>
      </c>
      <c r="R6" s="65">
        <v>81.428573608398438</v>
      </c>
      <c r="S6" s="65">
        <v>80.952377319335938</v>
      </c>
      <c r="T6" s="67">
        <v>80.476188659667969</v>
      </c>
      <c r="U6" s="67">
        <v>83.333335876464844</v>
      </c>
      <c r="V6" s="67">
        <v>80.952377319335938</v>
      </c>
      <c r="W6" s="67">
        <v>80.660377502441406</v>
      </c>
    </row>
    <row r="7" spans="1:23" x14ac:dyDescent="0.2">
      <c r="A7" t="s">
        <v>108</v>
      </c>
      <c r="B7" t="s">
        <v>109</v>
      </c>
      <c r="C7" s="59">
        <v>46.560848236083984</v>
      </c>
      <c r="D7" s="59">
        <v>50.793651580810547</v>
      </c>
      <c r="E7" s="59">
        <v>52.216747283935547</v>
      </c>
      <c r="F7" s="59">
        <v>52.195121765136719</v>
      </c>
      <c r="G7" s="59">
        <v>52.195121765136719</v>
      </c>
      <c r="H7" s="61">
        <v>49.029125213623047</v>
      </c>
      <c r="I7" s="61">
        <v>49.514564514160156</v>
      </c>
      <c r="J7" s="61">
        <v>45.454544067382812</v>
      </c>
      <c r="K7" s="61">
        <v>41.428569793701172</v>
      </c>
      <c r="L7" s="63">
        <v>47.393363952636719</v>
      </c>
      <c r="M7" s="63">
        <v>42.180095672607422</v>
      </c>
      <c r="N7" s="63">
        <v>40.284358978271484</v>
      </c>
      <c r="O7" s="63">
        <v>42.788459777832031</v>
      </c>
      <c r="P7" s="65">
        <v>44.761905670166016</v>
      </c>
      <c r="Q7" s="65">
        <v>41.904762268066406</v>
      </c>
      <c r="R7" s="65">
        <v>42.380950927734375</v>
      </c>
      <c r="S7" s="65">
        <v>43.333332061767578</v>
      </c>
      <c r="T7" s="67">
        <v>46.190475463867188</v>
      </c>
      <c r="U7" s="67">
        <v>45.714286804199219</v>
      </c>
      <c r="V7" s="67">
        <v>42.380950927734375</v>
      </c>
      <c r="W7" s="67">
        <v>41.037734985351562</v>
      </c>
    </row>
    <row r="8" spans="1:23" x14ac:dyDescent="0.2">
      <c r="A8" t="s">
        <v>116</v>
      </c>
      <c r="B8" t="s">
        <v>117</v>
      </c>
      <c r="C8" s="59">
        <v>82.010581970214844</v>
      </c>
      <c r="D8" s="59">
        <v>82.539680480957031</v>
      </c>
      <c r="E8" s="59">
        <v>81.280784606933594</v>
      </c>
      <c r="F8" s="59">
        <v>81.951217651367188</v>
      </c>
      <c r="G8" s="59">
        <v>83.902435302734375</v>
      </c>
      <c r="H8" s="61">
        <v>88.834953308105469</v>
      </c>
      <c r="I8" s="61">
        <v>89.805824279785156</v>
      </c>
      <c r="J8" s="61">
        <v>84.688995361328125</v>
      </c>
      <c r="K8" s="61">
        <v>85.714286804199219</v>
      </c>
      <c r="L8" s="63">
        <v>87.677726745605469</v>
      </c>
      <c r="M8" s="63">
        <v>88.625595092773438</v>
      </c>
      <c r="N8" s="63">
        <v>89.573463439941406</v>
      </c>
      <c r="O8" s="63">
        <v>89.903846740722656</v>
      </c>
      <c r="P8" s="65">
        <v>89.047622680664062</v>
      </c>
      <c r="Q8" s="65">
        <v>89.047622680664062</v>
      </c>
      <c r="R8" s="65">
        <v>88.095237731933594</v>
      </c>
      <c r="S8" s="65">
        <v>86.666664123535156</v>
      </c>
      <c r="T8" s="67">
        <v>88.095237731933594</v>
      </c>
      <c r="U8" s="67">
        <v>89.047622680664062</v>
      </c>
      <c r="V8" s="67">
        <v>91.428573608398438</v>
      </c>
      <c r="W8" s="67">
        <v>91.981132507324219</v>
      </c>
    </row>
    <row r="10" spans="1:23" x14ac:dyDescent="0.2">
      <c r="D10" s="20"/>
    </row>
    <row r="11" spans="1:23" x14ac:dyDescent="0.2">
      <c r="D11" s="20"/>
    </row>
    <row r="12" spans="1:23" x14ac:dyDescent="0.2">
      <c r="D12" s="20"/>
    </row>
    <row r="13" spans="1:23" x14ac:dyDescent="0.2">
      <c r="D13" s="20"/>
    </row>
    <row r="14" spans="1:23" x14ac:dyDescent="0.2">
      <c r="D14" s="20"/>
    </row>
    <row r="15" spans="1:23" x14ac:dyDescent="0.2">
      <c r="D15" s="20"/>
    </row>
    <row r="16" spans="1:23" x14ac:dyDescent="0.2">
      <c r="D16" s="20"/>
    </row>
    <row r="17" spans="4:4" x14ac:dyDescent="0.2">
      <c r="D17" s="20"/>
    </row>
    <row r="18" spans="4:4" x14ac:dyDescent="0.2">
      <c r="D18" s="20"/>
    </row>
    <row r="19" spans="4:4" x14ac:dyDescent="0.2">
      <c r="D19" s="20"/>
    </row>
    <row r="20" spans="4:4" x14ac:dyDescent="0.2">
      <c r="D20" s="20"/>
    </row>
    <row r="21" spans="4:4" x14ac:dyDescent="0.2">
      <c r="D21" s="20"/>
    </row>
    <row r="22" spans="4:4" x14ac:dyDescent="0.2">
      <c r="D22" s="20"/>
    </row>
    <row r="23" spans="4:4" x14ac:dyDescent="0.2">
      <c r="D23" s="20"/>
    </row>
    <row r="24" spans="4:4" x14ac:dyDescent="0.2">
      <c r="D24" s="20"/>
    </row>
    <row r="25" spans="4:4" x14ac:dyDescent="0.2">
      <c r="D25" s="20"/>
    </row>
    <row r="26" spans="4:4" x14ac:dyDescent="0.2">
      <c r="D26" s="20"/>
    </row>
    <row r="27" spans="4:4" x14ac:dyDescent="0.2">
      <c r="D27" s="20"/>
    </row>
    <row r="28" spans="4:4" x14ac:dyDescent="0.2">
      <c r="D28" s="20"/>
    </row>
    <row r="29" spans="4:4" x14ac:dyDescent="0.2">
      <c r="D29" s="20"/>
    </row>
    <row r="30" spans="4:4" x14ac:dyDescent="0.2">
      <c r="D30" s="20"/>
    </row>
    <row r="31" spans="4:4" x14ac:dyDescent="0.2">
      <c r="D31" s="20"/>
    </row>
    <row r="32" spans="4:4" x14ac:dyDescent="0.2">
      <c r="D32" s="20"/>
    </row>
    <row r="33" spans="4:4" x14ac:dyDescent="0.2">
      <c r="D33" s="20"/>
    </row>
    <row r="34" spans="4:4" x14ac:dyDescent="0.2">
      <c r="D34" s="20"/>
    </row>
    <row r="35" spans="4:4" x14ac:dyDescent="0.2">
      <c r="D35" s="20"/>
    </row>
    <row r="36" spans="4:4" x14ac:dyDescent="0.2">
      <c r="D36" s="20"/>
    </row>
    <row r="37" spans="4:4" x14ac:dyDescent="0.2">
      <c r="D37" s="20"/>
    </row>
    <row r="38" spans="4:4" x14ac:dyDescent="0.2">
      <c r="D38" s="20"/>
    </row>
    <row r="39" spans="4:4" x14ac:dyDescent="0.2">
      <c r="D39" s="20"/>
    </row>
    <row r="40" spans="4:4" x14ac:dyDescent="0.2">
      <c r="D40" s="20"/>
    </row>
    <row r="41" spans="4:4" x14ac:dyDescent="0.2">
      <c r="D41" s="20"/>
    </row>
    <row r="42" spans="4:4" x14ac:dyDescent="0.2">
      <c r="D42" s="20"/>
    </row>
    <row r="43" spans="4:4" x14ac:dyDescent="0.2">
      <c r="D43" s="20"/>
    </row>
    <row r="44" spans="4:4" x14ac:dyDescent="0.2">
      <c r="D44" s="20"/>
    </row>
    <row r="45" spans="4:4" x14ac:dyDescent="0.2">
      <c r="D45" s="20"/>
    </row>
    <row r="46" spans="4:4" x14ac:dyDescent="0.2">
      <c r="D46" s="20"/>
    </row>
    <row r="47" spans="4:4" x14ac:dyDescent="0.2">
      <c r="D47" s="20"/>
    </row>
    <row r="48" spans="4:4" x14ac:dyDescent="0.2">
      <c r="D48" s="20"/>
    </row>
    <row r="49" spans="4:4" x14ac:dyDescent="0.2">
      <c r="D49" s="20"/>
    </row>
    <row r="50" spans="4:4" x14ac:dyDescent="0.2">
      <c r="D50" s="20"/>
    </row>
    <row r="51" spans="4:4" x14ac:dyDescent="0.2">
      <c r="D51" s="20"/>
    </row>
    <row r="52" spans="4:4" x14ac:dyDescent="0.2">
      <c r="D52" s="20"/>
    </row>
    <row r="53" spans="4:4" x14ac:dyDescent="0.2">
      <c r="D53" s="20"/>
    </row>
    <row r="54" spans="4:4" x14ac:dyDescent="0.2">
      <c r="D54" s="20"/>
    </row>
    <row r="55" spans="4:4" x14ac:dyDescent="0.2">
      <c r="D55" s="20"/>
    </row>
    <row r="56" spans="4:4" x14ac:dyDescent="0.2">
      <c r="D56" s="20"/>
    </row>
    <row r="57" spans="4:4" x14ac:dyDescent="0.2">
      <c r="D57" s="20"/>
    </row>
    <row r="58" spans="4:4" x14ac:dyDescent="0.2">
      <c r="D58" s="20"/>
    </row>
  </sheetData>
  <mergeCells count="1">
    <mergeCell ref="B1:W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21177-D258-C04F-A76B-C6EE3527450A}">
  <dimension ref="A1:Y8"/>
  <sheetViews>
    <sheetView zoomScale="42" workbookViewId="0">
      <selection activeCell="N2" sqref="N2:Y7"/>
    </sheetView>
  </sheetViews>
  <sheetFormatPr baseColWidth="10" defaultRowHeight="16" x14ac:dyDescent="0.2"/>
  <sheetData>
    <row r="1" spans="1:25" x14ac:dyDescent="0.2">
      <c r="B1" s="70" t="s">
        <v>214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</row>
    <row r="2" spans="1:25" x14ac:dyDescent="0.2">
      <c r="A2" s="33" t="s">
        <v>146</v>
      </c>
      <c r="B2" s="34" t="s">
        <v>147</v>
      </c>
      <c r="C2" s="58">
        <v>2002</v>
      </c>
      <c r="D2" s="58">
        <v>2003</v>
      </c>
      <c r="E2" s="58">
        <v>2004</v>
      </c>
      <c r="F2" s="58">
        <v>2005</v>
      </c>
      <c r="G2" s="58">
        <v>2006</v>
      </c>
      <c r="H2" s="60">
        <v>2007</v>
      </c>
      <c r="I2" s="60">
        <v>2008</v>
      </c>
      <c r="J2" s="60">
        <v>2009</v>
      </c>
      <c r="K2" s="60">
        <v>2010</v>
      </c>
      <c r="L2" s="62">
        <v>2011</v>
      </c>
      <c r="M2" s="68"/>
      <c r="N2" s="34" t="s">
        <v>147</v>
      </c>
      <c r="O2" s="62">
        <v>2012</v>
      </c>
      <c r="P2" s="62">
        <v>2013</v>
      </c>
      <c r="Q2" s="62">
        <v>2014</v>
      </c>
      <c r="R2" s="64">
        <v>2015</v>
      </c>
      <c r="S2" s="64">
        <v>2016</v>
      </c>
      <c r="T2" s="64">
        <v>2017</v>
      </c>
      <c r="U2" s="64">
        <v>2018</v>
      </c>
      <c r="V2" s="66">
        <v>2019</v>
      </c>
      <c r="W2" s="66">
        <v>2020</v>
      </c>
      <c r="X2" s="66">
        <v>2021</v>
      </c>
      <c r="Y2" s="66">
        <v>2022</v>
      </c>
    </row>
    <row r="3" spans="1:25" x14ac:dyDescent="0.2">
      <c r="A3" t="s">
        <v>100</v>
      </c>
      <c r="B3" t="s">
        <v>101</v>
      </c>
      <c r="C3" s="59">
        <v>2.8</v>
      </c>
      <c r="D3" s="59">
        <v>2.5</v>
      </c>
      <c r="E3" s="59">
        <v>2.5</v>
      </c>
      <c r="F3" s="59">
        <v>2.8</v>
      </c>
      <c r="G3" s="59">
        <v>2.9</v>
      </c>
      <c r="H3" s="61">
        <v>2.9</v>
      </c>
      <c r="I3" s="61">
        <v>2.9</v>
      </c>
      <c r="J3" s="61">
        <v>2.9</v>
      </c>
      <c r="K3" s="61">
        <v>2.9</v>
      </c>
      <c r="L3" s="63">
        <v>3</v>
      </c>
      <c r="M3" s="63"/>
      <c r="N3" t="s">
        <v>101</v>
      </c>
      <c r="O3" s="63">
        <v>35</v>
      </c>
      <c r="P3" s="63">
        <v>34</v>
      </c>
      <c r="Q3" s="63">
        <v>34</v>
      </c>
      <c r="R3" s="65">
        <v>32</v>
      </c>
      <c r="S3" s="65">
        <v>36</v>
      </c>
      <c r="T3" s="65">
        <v>39</v>
      </c>
      <c r="U3" s="65">
        <v>40</v>
      </c>
      <c r="V3" s="67">
        <v>45</v>
      </c>
      <c r="W3" s="67">
        <v>42</v>
      </c>
      <c r="X3" s="67">
        <v>38</v>
      </c>
      <c r="Y3" s="67">
        <v>38</v>
      </c>
    </row>
    <row r="4" spans="1:25" x14ac:dyDescent="0.2">
      <c r="A4" t="s">
        <v>104</v>
      </c>
      <c r="B4" t="s">
        <v>105</v>
      </c>
      <c r="C4" s="59">
        <v>4</v>
      </c>
      <c r="D4" s="59">
        <v>3.9</v>
      </c>
      <c r="E4" s="59">
        <v>3.9</v>
      </c>
      <c r="F4" s="59">
        <v>3.7</v>
      </c>
      <c r="G4" s="59">
        <v>3.3</v>
      </c>
      <c r="H4" s="61">
        <v>3.5</v>
      </c>
      <c r="I4" s="61">
        <v>3.5</v>
      </c>
      <c r="J4" s="61">
        <v>3.7</v>
      </c>
      <c r="K4" s="61">
        <v>3.7</v>
      </c>
      <c r="L4" s="63">
        <v>3.8</v>
      </c>
      <c r="M4" s="63"/>
      <c r="N4" t="s">
        <v>105</v>
      </c>
      <c r="O4" s="63">
        <v>43</v>
      </c>
      <c r="P4" s="63">
        <v>42</v>
      </c>
      <c r="Q4" s="63">
        <v>43</v>
      </c>
      <c r="R4" s="65">
        <v>38</v>
      </c>
      <c r="S4" s="65">
        <v>40</v>
      </c>
      <c r="T4" s="65">
        <v>37</v>
      </c>
      <c r="U4" s="65">
        <v>35</v>
      </c>
      <c r="V4" s="67">
        <v>35</v>
      </c>
      <c r="W4" s="67">
        <v>38</v>
      </c>
      <c r="X4" s="67">
        <v>38</v>
      </c>
      <c r="Y4" s="67">
        <v>38</v>
      </c>
    </row>
    <row r="5" spans="1:25" x14ac:dyDescent="0.2">
      <c r="A5" t="s">
        <v>106</v>
      </c>
      <c r="B5" t="s">
        <v>107</v>
      </c>
      <c r="C5" s="59">
        <v>7.5</v>
      </c>
      <c r="D5" s="59">
        <v>7.4</v>
      </c>
      <c r="E5" s="59">
        <v>7.4</v>
      </c>
      <c r="F5" s="59">
        <v>7.3</v>
      </c>
      <c r="G5" s="59">
        <v>7.3</v>
      </c>
      <c r="H5" s="61">
        <v>7</v>
      </c>
      <c r="I5" s="61">
        <v>6.9</v>
      </c>
      <c r="J5" s="61">
        <v>6.7</v>
      </c>
      <c r="K5" s="61">
        <v>7.2</v>
      </c>
      <c r="L5" s="63">
        <v>7.2</v>
      </c>
      <c r="M5" s="63"/>
      <c r="N5" t="s">
        <v>107</v>
      </c>
      <c r="O5" s="63">
        <v>72</v>
      </c>
      <c r="P5" s="63">
        <v>71</v>
      </c>
      <c r="Q5" s="63">
        <v>73</v>
      </c>
      <c r="R5" s="65">
        <v>70</v>
      </c>
      <c r="S5" s="65">
        <v>66</v>
      </c>
      <c r="T5" s="65">
        <v>67</v>
      </c>
      <c r="U5" s="65">
        <v>67</v>
      </c>
      <c r="V5" s="67">
        <v>67</v>
      </c>
      <c r="W5" s="67">
        <v>67</v>
      </c>
      <c r="X5" s="67">
        <v>67</v>
      </c>
      <c r="Y5" s="67">
        <v>67</v>
      </c>
    </row>
    <row r="6" spans="1:25" x14ac:dyDescent="0.2">
      <c r="A6" t="s">
        <v>108</v>
      </c>
      <c r="B6" t="s">
        <v>109</v>
      </c>
      <c r="C6" s="59">
        <v>3.6</v>
      </c>
      <c r="D6" s="59">
        <v>3.7</v>
      </c>
      <c r="E6" s="59">
        <v>3.8</v>
      </c>
      <c r="F6" s="59">
        <v>4</v>
      </c>
      <c r="G6" s="59">
        <v>3.9</v>
      </c>
      <c r="H6" s="61">
        <v>3.8</v>
      </c>
      <c r="I6" s="61">
        <v>3.8</v>
      </c>
      <c r="J6" s="61">
        <v>3.7</v>
      </c>
      <c r="K6" s="61">
        <v>3.5</v>
      </c>
      <c r="L6" s="63">
        <v>3.4</v>
      </c>
      <c r="M6" s="63"/>
      <c r="N6" t="s">
        <v>109</v>
      </c>
      <c r="O6" s="63">
        <v>36</v>
      </c>
      <c r="P6" s="63">
        <v>36</v>
      </c>
      <c r="Q6" s="63">
        <v>37</v>
      </c>
      <c r="R6" s="65">
        <v>37</v>
      </c>
      <c r="S6" s="65">
        <v>37</v>
      </c>
      <c r="T6" s="65">
        <v>37</v>
      </c>
      <c r="U6" s="65">
        <v>36</v>
      </c>
      <c r="V6" s="67">
        <v>37</v>
      </c>
      <c r="W6" s="67">
        <v>39</v>
      </c>
      <c r="X6" s="67">
        <v>39</v>
      </c>
      <c r="Y6" s="67">
        <v>39</v>
      </c>
    </row>
    <row r="7" spans="1:25" x14ac:dyDescent="0.2">
      <c r="A7" t="s">
        <v>116</v>
      </c>
      <c r="B7" t="s">
        <v>117</v>
      </c>
      <c r="C7" s="59">
        <v>5.0999999999999996</v>
      </c>
      <c r="D7" s="59">
        <v>5.5</v>
      </c>
      <c r="E7" s="59">
        <v>6.2</v>
      </c>
      <c r="F7" s="59">
        <v>5.9</v>
      </c>
      <c r="G7" s="59">
        <v>6.4</v>
      </c>
      <c r="H7" s="61">
        <v>6.7</v>
      </c>
      <c r="I7" s="61">
        <v>6.9</v>
      </c>
      <c r="J7" s="61">
        <v>6.7</v>
      </c>
      <c r="K7" s="61">
        <v>6.9</v>
      </c>
      <c r="L7" s="63">
        <v>7</v>
      </c>
      <c r="M7" s="63"/>
      <c r="N7" t="s">
        <v>117</v>
      </c>
      <c r="O7" s="63">
        <v>72</v>
      </c>
      <c r="P7" s="63">
        <v>73</v>
      </c>
      <c r="Q7" s="63">
        <v>73</v>
      </c>
      <c r="R7" s="65">
        <v>74</v>
      </c>
      <c r="S7" s="65">
        <v>71</v>
      </c>
      <c r="T7" s="65">
        <v>70</v>
      </c>
      <c r="U7" s="65">
        <v>70</v>
      </c>
      <c r="V7" s="67">
        <v>71</v>
      </c>
      <c r="W7" s="67">
        <v>71</v>
      </c>
      <c r="X7" s="67">
        <v>73</v>
      </c>
      <c r="Y7" s="67">
        <v>74</v>
      </c>
    </row>
    <row r="8" spans="1:25" x14ac:dyDescent="0.2">
      <c r="T8" t="s">
        <v>213</v>
      </c>
    </row>
  </sheetData>
  <mergeCells count="1">
    <mergeCell ref="B1:Y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FUENTES</vt:lpstr>
      <vt:lpstr>GRA GENERAL</vt:lpstr>
      <vt:lpstr>Hoja1</vt:lpstr>
      <vt:lpstr>EJE GRAFICAS</vt:lpstr>
      <vt:lpstr>DATOS 13</vt:lpstr>
      <vt:lpstr>DATOS 7</vt:lpstr>
      <vt:lpstr>EJE GRA</vt:lpstr>
      <vt:lpstr>Hoja5</vt:lpstr>
      <vt:lpstr>presi 5 paises</vt:lpstr>
      <vt:lpstr>5 paises WB</vt:lpstr>
      <vt:lpstr>5 PAISES 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Sofia Mazuera Rozo</dc:creator>
  <cp:lastModifiedBy>Diana Sofia Mazuera Rozo</cp:lastModifiedBy>
  <dcterms:created xsi:type="dcterms:W3CDTF">2024-02-25T16:47:34Z</dcterms:created>
  <dcterms:modified xsi:type="dcterms:W3CDTF">2024-09-03T22:07:39Z</dcterms:modified>
</cp:coreProperties>
</file>